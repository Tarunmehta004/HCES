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My Drive\KG TM - Joint projects\HCES\Across survey analysis\LPG and firewood statistics\"/>
    </mc:Choice>
  </mc:AlternateContent>
  <bookViews>
    <workbookView xWindow="0" yWindow="0" windowWidth="15525" windowHeight="6930" firstSheet="4" activeTab="7"/>
    <workbookView xWindow="0" yWindow="0" windowWidth="19200" windowHeight="6930" firstSheet="4" activeTab="7"/>
    <workbookView xWindow="0" yWindow="0" windowWidth="28800" windowHeight="12210"/>
  </bookViews>
  <sheets>
    <sheet name="Contents" sheetId="8" r:id="rId1"/>
    <sheet name="Primary cooking source" sheetId="1" r:id="rId2"/>
    <sheet name="LPG subsidy" sheetId="2" r:id="rId3"/>
    <sheet name="Subsidized cylinder count" sheetId="3" r:id="rId4"/>
    <sheet name="Average consumption - PC 30 day" sheetId="4" r:id="rId5"/>
    <sheet name="Average cylinders - HH 1 yr" sheetId="6" r:id="rId6"/>
    <sheet name="PPAC vs HCES lpg consumption" sheetId="5" r:id="rId7"/>
    <sheet name="Share LPG and firewood exp" sheetId="7" r:id="rId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101" i="7" l="1"/>
  <c r="T101" i="7"/>
  <c r="V101" i="7" s="1"/>
  <c r="U100" i="7"/>
  <c r="T100" i="7"/>
  <c r="V100" i="7" s="1"/>
  <c r="U99" i="7"/>
  <c r="T99" i="7"/>
  <c r="U98" i="7"/>
  <c r="T98" i="7"/>
  <c r="V98" i="7" s="1"/>
  <c r="U97" i="7"/>
  <c r="T97" i="7"/>
  <c r="V97" i="7" s="1"/>
  <c r="U96" i="7"/>
  <c r="T96" i="7"/>
  <c r="V96" i="7" s="1"/>
  <c r="U95" i="7"/>
  <c r="T95" i="7"/>
  <c r="V95" i="7" s="1"/>
  <c r="U94" i="7"/>
  <c r="T94" i="7"/>
  <c r="U93" i="7"/>
  <c r="T93" i="7"/>
  <c r="V93" i="7" s="1"/>
  <c r="U92" i="7"/>
  <c r="T92" i="7"/>
  <c r="V92" i="7" s="1"/>
  <c r="U59" i="7"/>
  <c r="T59" i="7"/>
  <c r="V59" i="7" s="1"/>
  <c r="U58" i="7"/>
  <c r="T58" i="7"/>
  <c r="V58" i="7" s="1"/>
  <c r="U57" i="7"/>
  <c r="T57" i="7"/>
  <c r="V57" i="7" s="1"/>
  <c r="U56" i="7"/>
  <c r="T56" i="7"/>
  <c r="V56" i="7" s="1"/>
  <c r="U55" i="7"/>
  <c r="T55" i="7"/>
  <c r="U54" i="7"/>
  <c r="T54" i="7"/>
  <c r="V54" i="7" s="1"/>
  <c r="U53" i="7"/>
  <c r="T53" i="7"/>
  <c r="U52" i="7"/>
  <c r="T52" i="7"/>
  <c r="V52" i="7" s="1"/>
  <c r="U51" i="7"/>
  <c r="T51" i="7"/>
  <c r="U50" i="7"/>
  <c r="T50" i="7"/>
  <c r="V50" i="7" s="1"/>
  <c r="V17" i="7"/>
  <c r="U17" i="7"/>
  <c r="W17" i="7" s="1"/>
  <c r="W14" i="7"/>
  <c r="V14" i="7"/>
  <c r="U14" i="7"/>
  <c r="G101" i="7"/>
  <c r="F101" i="7"/>
  <c r="H101" i="7" s="1"/>
  <c r="G100" i="7"/>
  <c r="F100" i="7"/>
  <c r="G99" i="7"/>
  <c r="F99" i="7"/>
  <c r="G98" i="7"/>
  <c r="F98" i="7"/>
  <c r="H98" i="7" s="1"/>
  <c r="G97" i="7"/>
  <c r="F97" i="7"/>
  <c r="H97" i="7" s="1"/>
  <c r="G96" i="7"/>
  <c r="F96" i="7"/>
  <c r="G95" i="7"/>
  <c r="F95" i="7"/>
  <c r="H95" i="7" s="1"/>
  <c r="G94" i="7"/>
  <c r="F94" i="7"/>
  <c r="H94" i="7" s="1"/>
  <c r="G93" i="7"/>
  <c r="F93" i="7"/>
  <c r="H93" i="7" s="1"/>
  <c r="G92" i="7"/>
  <c r="F92" i="7"/>
  <c r="G59" i="7"/>
  <c r="F59" i="7"/>
  <c r="H59" i="7" s="1"/>
  <c r="G58" i="7"/>
  <c r="F58" i="7"/>
  <c r="G57" i="7"/>
  <c r="F57" i="7"/>
  <c r="H57" i="7" s="1"/>
  <c r="G56" i="7"/>
  <c r="F56" i="7"/>
  <c r="G55" i="7"/>
  <c r="F55" i="7"/>
  <c r="H55" i="7" s="1"/>
  <c r="G54" i="7"/>
  <c r="F54" i="7"/>
  <c r="G53" i="7"/>
  <c r="F53" i="7"/>
  <c r="H53" i="7" s="1"/>
  <c r="G52" i="7"/>
  <c r="F52" i="7"/>
  <c r="H52" i="7" s="1"/>
  <c r="G51" i="7"/>
  <c r="F51" i="7"/>
  <c r="H51" i="7" s="1"/>
  <c r="G50" i="7"/>
  <c r="F50" i="7"/>
  <c r="H17" i="7"/>
  <c r="G17" i="7"/>
  <c r="I17" i="7" s="1"/>
  <c r="H14" i="7"/>
  <c r="G14" i="7"/>
  <c r="I14" i="7" s="1"/>
  <c r="U7" i="7"/>
  <c r="V7" i="7" s="1"/>
  <c r="T7" i="7"/>
  <c r="G7" i="7"/>
  <c r="F7" i="7"/>
  <c r="H7" i="7" s="1"/>
  <c r="V99" i="7" l="1"/>
  <c r="V94" i="7"/>
  <c r="V55" i="7"/>
  <c r="V53" i="7"/>
  <c r="V51" i="7"/>
  <c r="H92" i="7"/>
  <c r="H96" i="7"/>
  <c r="H100" i="7"/>
  <c r="H99" i="7"/>
  <c r="H50" i="7"/>
  <c r="H54" i="7"/>
  <c r="H58" i="7"/>
  <c r="H56" i="7"/>
  <c r="G87" i="7"/>
  <c r="F87" i="7"/>
  <c r="H87" i="7" s="1"/>
  <c r="G86" i="7"/>
  <c r="F86" i="7"/>
  <c r="H86" i="7" s="1"/>
  <c r="G85" i="7"/>
  <c r="F85" i="7"/>
  <c r="H85" i="7" s="1"/>
  <c r="G84" i="7"/>
  <c r="F84" i="7"/>
  <c r="G83" i="7"/>
  <c r="F83" i="7"/>
  <c r="H83" i="7" s="1"/>
  <c r="G82" i="7"/>
  <c r="F82" i="7"/>
  <c r="G81" i="7"/>
  <c r="F81" i="7"/>
  <c r="H81" i="7" s="1"/>
  <c r="G80" i="7"/>
  <c r="F80" i="7"/>
  <c r="G79" i="7"/>
  <c r="F79" i="7"/>
  <c r="H79" i="7" s="1"/>
  <c r="G78" i="7"/>
  <c r="F78" i="7"/>
  <c r="H78" i="7" s="1"/>
  <c r="G73" i="7"/>
  <c r="F73" i="7"/>
  <c r="G72" i="7"/>
  <c r="F72" i="7"/>
  <c r="H72" i="7" s="1"/>
  <c r="G71" i="7"/>
  <c r="F71" i="7"/>
  <c r="H71" i="7" s="1"/>
  <c r="H70" i="7"/>
  <c r="G70" i="7"/>
  <c r="F70" i="7"/>
  <c r="G69" i="7"/>
  <c r="F69" i="7"/>
  <c r="H69" i="7" s="1"/>
  <c r="G68" i="7"/>
  <c r="F68" i="7"/>
  <c r="H68" i="7" s="1"/>
  <c r="G67" i="7"/>
  <c r="F67" i="7"/>
  <c r="H67" i="7" s="1"/>
  <c r="G66" i="7"/>
  <c r="F66" i="7"/>
  <c r="H66" i="7" s="1"/>
  <c r="G65" i="7"/>
  <c r="F65" i="7"/>
  <c r="G64" i="7"/>
  <c r="F64" i="7"/>
  <c r="H64" i="7" s="1"/>
  <c r="G45" i="7"/>
  <c r="H45" i="7" s="1"/>
  <c r="F45" i="7"/>
  <c r="G44" i="7"/>
  <c r="F44" i="7"/>
  <c r="H44" i="7" s="1"/>
  <c r="G43" i="7"/>
  <c r="F43" i="7"/>
  <c r="H43" i="7" s="1"/>
  <c r="G42" i="7"/>
  <c r="F42" i="7"/>
  <c r="H42" i="7" s="1"/>
  <c r="G41" i="7"/>
  <c r="F41" i="7"/>
  <c r="G40" i="7"/>
  <c r="F40" i="7"/>
  <c r="G39" i="7"/>
  <c r="F39" i="7"/>
  <c r="H39" i="7" s="1"/>
  <c r="G38" i="7"/>
  <c r="F38" i="7"/>
  <c r="G37" i="7"/>
  <c r="H37" i="7" s="1"/>
  <c r="F37" i="7"/>
  <c r="G36" i="7"/>
  <c r="F36" i="7"/>
  <c r="H36" i="7" s="1"/>
  <c r="H82" i="7" l="1"/>
  <c r="H80" i="7"/>
  <c r="H84" i="7"/>
  <c r="H65" i="7"/>
  <c r="H73" i="7"/>
  <c r="H38" i="7"/>
  <c r="H40" i="7"/>
  <c r="H41" i="7"/>
  <c r="U12" i="4" l="1"/>
  <c r="G31" i="7"/>
  <c r="F31" i="7"/>
  <c r="H31" i="7" s="1"/>
  <c r="G30" i="7"/>
  <c r="F30" i="7"/>
  <c r="G29" i="7"/>
  <c r="F29" i="7"/>
  <c r="G28" i="7"/>
  <c r="F28" i="7"/>
  <c r="H28" i="7" s="1"/>
  <c r="G27" i="7"/>
  <c r="F27" i="7"/>
  <c r="H27" i="7" s="1"/>
  <c r="G26" i="7"/>
  <c r="F26" i="7"/>
  <c r="G25" i="7"/>
  <c r="F25" i="7"/>
  <c r="H25" i="7" s="1"/>
  <c r="G24" i="7"/>
  <c r="F24" i="7"/>
  <c r="H24" i="7" s="1"/>
  <c r="G23" i="7"/>
  <c r="F23" i="7"/>
  <c r="H23" i="7" s="1"/>
  <c r="G22" i="7"/>
  <c r="F22" i="7"/>
  <c r="H22" i="7" s="1"/>
  <c r="H16" i="7"/>
  <c r="G16" i="7"/>
  <c r="I15" i="7"/>
  <c r="H15" i="7"/>
  <c r="G15" i="7"/>
  <c r="H13" i="7"/>
  <c r="G13" i="7"/>
  <c r="I12" i="7"/>
  <c r="H12" i="7"/>
  <c r="G12" i="7"/>
  <c r="G6" i="7"/>
  <c r="F6" i="7"/>
  <c r="H6" i="7" s="1"/>
  <c r="G5" i="7"/>
  <c r="F5" i="7"/>
  <c r="H5" i="7" s="1"/>
  <c r="H29" i="7" l="1"/>
  <c r="H30" i="7"/>
  <c r="H26" i="7"/>
  <c r="I13" i="7"/>
  <c r="I16" i="7"/>
  <c r="T79" i="7"/>
  <c r="V79" i="7" s="1"/>
  <c r="U79" i="7"/>
  <c r="T80" i="7"/>
  <c r="U80" i="7"/>
  <c r="V80" i="7"/>
  <c r="T81" i="7"/>
  <c r="U81" i="7"/>
  <c r="V81" i="7"/>
  <c r="T82" i="7"/>
  <c r="V82" i="7" s="1"/>
  <c r="U82" i="7"/>
  <c r="T83" i="7"/>
  <c r="U83" i="7"/>
  <c r="V83" i="7"/>
  <c r="T84" i="7"/>
  <c r="U84" i="7"/>
  <c r="V84" i="7"/>
  <c r="T85" i="7"/>
  <c r="U85" i="7"/>
  <c r="V85" i="7"/>
  <c r="T86" i="7"/>
  <c r="U86" i="7"/>
  <c r="V86" i="7"/>
  <c r="T87" i="7"/>
  <c r="V87" i="7" s="1"/>
  <c r="U87" i="7"/>
  <c r="U78" i="7"/>
  <c r="T78" i="7"/>
  <c r="V78" i="7" s="1"/>
  <c r="T65" i="7"/>
  <c r="U65" i="7"/>
  <c r="V65" i="7"/>
  <c r="T66" i="7"/>
  <c r="U66" i="7"/>
  <c r="V66" i="7"/>
  <c r="T67" i="7"/>
  <c r="V67" i="7" s="1"/>
  <c r="U67" i="7"/>
  <c r="T68" i="7"/>
  <c r="U68" i="7"/>
  <c r="V68" i="7"/>
  <c r="T69" i="7"/>
  <c r="U69" i="7"/>
  <c r="V69" i="7"/>
  <c r="T70" i="7"/>
  <c r="V70" i="7" s="1"/>
  <c r="U70" i="7"/>
  <c r="T71" i="7"/>
  <c r="V71" i="7" s="1"/>
  <c r="U71" i="7"/>
  <c r="T72" i="7"/>
  <c r="U72" i="7"/>
  <c r="V72" i="7"/>
  <c r="T73" i="7"/>
  <c r="U73" i="7"/>
  <c r="V73" i="7"/>
  <c r="U64" i="7"/>
  <c r="T64" i="7"/>
  <c r="V64" i="7" s="1"/>
  <c r="T37" i="7"/>
  <c r="U37" i="7"/>
  <c r="V37" i="7" s="1"/>
  <c r="T38" i="7"/>
  <c r="U38" i="7"/>
  <c r="V38" i="7"/>
  <c r="T39" i="7"/>
  <c r="V39" i="7" s="1"/>
  <c r="U39" i="7"/>
  <c r="T40" i="7"/>
  <c r="U40" i="7"/>
  <c r="V40" i="7"/>
  <c r="T41" i="7"/>
  <c r="U41" i="7"/>
  <c r="V41" i="7"/>
  <c r="T42" i="7"/>
  <c r="V42" i="7" s="1"/>
  <c r="U42" i="7"/>
  <c r="T43" i="7"/>
  <c r="U43" i="7"/>
  <c r="V43" i="7"/>
  <c r="T44" i="7"/>
  <c r="U44" i="7"/>
  <c r="V44" i="7"/>
  <c r="T45" i="7"/>
  <c r="U45" i="7"/>
  <c r="V45" i="7"/>
  <c r="U36" i="7"/>
  <c r="T36" i="7"/>
  <c r="V36" i="7" s="1"/>
  <c r="T23" i="7"/>
  <c r="U23" i="7"/>
  <c r="V23" i="7"/>
  <c r="T24" i="7"/>
  <c r="V24" i="7" s="1"/>
  <c r="U24" i="7"/>
  <c r="T25" i="7"/>
  <c r="V25" i="7" s="1"/>
  <c r="U25" i="7"/>
  <c r="T26" i="7"/>
  <c r="U26" i="7"/>
  <c r="V26" i="7"/>
  <c r="T27" i="7"/>
  <c r="U27" i="7"/>
  <c r="V27" i="7"/>
  <c r="T28" i="7"/>
  <c r="V28" i="7" s="1"/>
  <c r="U28" i="7"/>
  <c r="T29" i="7"/>
  <c r="U29" i="7"/>
  <c r="V29" i="7"/>
  <c r="T30" i="7"/>
  <c r="U30" i="7"/>
  <c r="V30" i="7"/>
  <c r="T31" i="7"/>
  <c r="U31" i="7"/>
  <c r="V31" i="7"/>
  <c r="V22" i="7"/>
  <c r="U22" i="7"/>
  <c r="T22" i="7"/>
  <c r="V16" i="7"/>
  <c r="U16" i="7"/>
  <c r="W16" i="7" s="1"/>
  <c r="V15" i="7"/>
  <c r="U15" i="7"/>
  <c r="W15" i="7" s="1"/>
  <c r="V13" i="7"/>
  <c r="W13" i="7" s="1"/>
  <c r="U13" i="7"/>
  <c r="V12" i="7"/>
  <c r="W12" i="7" s="1"/>
  <c r="U12" i="7"/>
  <c r="U6" i="7"/>
  <c r="T6" i="7"/>
  <c r="V6" i="7" s="1"/>
  <c r="V5" i="7"/>
  <c r="U5" i="7"/>
  <c r="T5" i="7"/>
  <c r="X108" i="4" l="1"/>
  <c r="Y108" i="4"/>
  <c r="X109" i="4"/>
  <c r="Y109" i="4"/>
  <c r="X110" i="4"/>
  <c r="Y110" i="4"/>
  <c r="X111" i="4"/>
  <c r="Y111" i="4"/>
  <c r="X112" i="4"/>
  <c r="Y112" i="4"/>
  <c r="X113" i="4"/>
  <c r="Y113" i="4"/>
  <c r="X114" i="4"/>
  <c r="Y114" i="4"/>
  <c r="X115" i="4"/>
  <c r="Y115" i="4"/>
  <c r="X116" i="4"/>
  <c r="Y116" i="4"/>
  <c r="X117" i="4"/>
  <c r="Y117" i="4"/>
  <c r="X118" i="4"/>
  <c r="Y118" i="4"/>
  <c r="X119" i="4"/>
  <c r="Y119" i="4"/>
  <c r="X120" i="4"/>
  <c r="Y120" i="4"/>
  <c r="X121" i="4"/>
  <c r="Y121" i="4"/>
  <c r="X122" i="4"/>
  <c r="Y122" i="4"/>
  <c r="X123" i="4"/>
  <c r="Y123" i="4"/>
  <c r="X124" i="4"/>
  <c r="Y124" i="4"/>
  <c r="X125" i="4"/>
  <c r="Y125" i="4"/>
  <c r="X126" i="4"/>
  <c r="Y126" i="4"/>
  <c r="X127" i="4"/>
  <c r="Y127" i="4"/>
  <c r="X128" i="4"/>
  <c r="Y128" i="4"/>
  <c r="X129" i="4"/>
  <c r="Y129" i="4"/>
  <c r="X130" i="4"/>
  <c r="Y130" i="4"/>
  <c r="X131" i="4"/>
  <c r="Y131" i="4"/>
  <c r="X132" i="4"/>
  <c r="Y132" i="4"/>
  <c r="X133" i="4"/>
  <c r="Y133" i="4"/>
  <c r="X134" i="4"/>
  <c r="Y134" i="4"/>
  <c r="X135" i="4"/>
  <c r="Y135" i="4"/>
  <c r="X136" i="4"/>
  <c r="Y136" i="4"/>
  <c r="X137" i="4"/>
  <c r="Y137" i="4"/>
  <c r="X138" i="4"/>
  <c r="Y138" i="4"/>
  <c r="X139" i="4"/>
  <c r="Y139" i="4"/>
  <c r="X140" i="4"/>
  <c r="Y140" i="4"/>
  <c r="X141" i="4"/>
  <c r="Y141" i="4"/>
  <c r="X142" i="4"/>
  <c r="Y142" i="4"/>
  <c r="X107" i="4"/>
  <c r="Y107" i="4"/>
  <c r="X66" i="4"/>
  <c r="Y66" i="4"/>
  <c r="X67" i="4"/>
  <c r="Y67" i="4"/>
  <c r="X68" i="4"/>
  <c r="Y68" i="4"/>
  <c r="X69" i="4"/>
  <c r="Y69" i="4"/>
  <c r="X71" i="4"/>
  <c r="Y71" i="4"/>
  <c r="X72" i="4"/>
  <c r="Y72" i="4"/>
  <c r="X73" i="4"/>
  <c r="Y73" i="4"/>
  <c r="X74" i="4"/>
  <c r="Y74" i="4"/>
  <c r="X75" i="4"/>
  <c r="Y75" i="4"/>
  <c r="X76" i="4"/>
  <c r="Y76" i="4"/>
  <c r="X77" i="4"/>
  <c r="Y77" i="4"/>
  <c r="X78" i="4"/>
  <c r="Y78" i="4"/>
  <c r="X79" i="4"/>
  <c r="Y79" i="4"/>
  <c r="X80" i="4"/>
  <c r="Y80" i="4"/>
  <c r="X81" i="4"/>
  <c r="Y81" i="4"/>
  <c r="X82" i="4"/>
  <c r="Y82" i="4"/>
  <c r="X83" i="4"/>
  <c r="Y83" i="4"/>
  <c r="X84" i="4"/>
  <c r="Y84" i="4"/>
  <c r="X85" i="4"/>
  <c r="Y85" i="4"/>
  <c r="X86" i="4"/>
  <c r="Y86" i="4"/>
  <c r="X87" i="4"/>
  <c r="Y87" i="4"/>
  <c r="X88" i="4"/>
  <c r="Y88" i="4"/>
  <c r="X89" i="4"/>
  <c r="Y89" i="4"/>
  <c r="X90" i="4"/>
  <c r="Y90" i="4"/>
  <c r="X91" i="4"/>
  <c r="Y91" i="4"/>
  <c r="X92" i="4"/>
  <c r="Y92" i="4"/>
  <c r="X93" i="4"/>
  <c r="Y93" i="4"/>
  <c r="X94" i="4"/>
  <c r="Y94" i="4"/>
  <c r="X95" i="4"/>
  <c r="Y95" i="4"/>
  <c r="X96" i="4"/>
  <c r="Y96" i="4"/>
  <c r="X97" i="4"/>
  <c r="Y97" i="4"/>
  <c r="X98" i="4"/>
  <c r="Y98" i="4"/>
  <c r="X99" i="4"/>
  <c r="Y99" i="4"/>
  <c r="X100" i="4"/>
  <c r="Y100" i="4"/>
  <c r="Y65" i="4"/>
  <c r="X65" i="4"/>
  <c r="G108" i="4"/>
  <c r="H108" i="4"/>
  <c r="G109" i="4"/>
  <c r="H109" i="4"/>
  <c r="G110" i="4"/>
  <c r="H110" i="4"/>
  <c r="G111" i="4"/>
  <c r="H111" i="4"/>
  <c r="G113" i="4"/>
  <c r="H113" i="4"/>
  <c r="G114" i="4"/>
  <c r="H114" i="4"/>
  <c r="G115" i="4"/>
  <c r="H115" i="4"/>
  <c r="G116" i="4"/>
  <c r="H116" i="4"/>
  <c r="G117" i="4"/>
  <c r="H117" i="4"/>
  <c r="G118" i="4"/>
  <c r="H118" i="4"/>
  <c r="G119" i="4"/>
  <c r="H119" i="4"/>
  <c r="G120" i="4"/>
  <c r="H120" i="4"/>
  <c r="G121" i="4"/>
  <c r="H121" i="4"/>
  <c r="G122" i="4"/>
  <c r="H122" i="4"/>
  <c r="G123" i="4"/>
  <c r="H123" i="4"/>
  <c r="G124" i="4"/>
  <c r="H124" i="4"/>
  <c r="G125" i="4"/>
  <c r="H125" i="4"/>
  <c r="G126" i="4"/>
  <c r="H126" i="4"/>
  <c r="G127" i="4"/>
  <c r="H127" i="4"/>
  <c r="G128" i="4"/>
  <c r="H128" i="4"/>
  <c r="G129" i="4"/>
  <c r="H129" i="4"/>
  <c r="G130" i="4"/>
  <c r="H130" i="4"/>
  <c r="G131" i="4"/>
  <c r="H131" i="4"/>
  <c r="G132" i="4"/>
  <c r="H132" i="4"/>
  <c r="G133" i="4"/>
  <c r="H133" i="4"/>
  <c r="G134" i="4"/>
  <c r="H134" i="4"/>
  <c r="G135" i="4"/>
  <c r="H135" i="4"/>
  <c r="G136" i="4"/>
  <c r="H136" i="4"/>
  <c r="G137" i="4"/>
  <c r="H137" i="4"/>
  <c r="G138" i="4"/>
  <c r="H138" i="4"/>
  <c r="G139" i="4"/>
  <c r="H139" i="4"/>
  <c r="G140" i="4"/>
  <c r="H140" i="4"/>
  <c r="G141" i="4"/>
  <c r="H141" i="4"/>
  <c r="G142" i="4"/>
  <c r="H142" i="4"/>
  <c r="H107" i="4"/>
  <c r="G107" i="4"/>
  <c r="G66" i="4"/>
  <c r="H66" i="4"/>
  <c r="G67" i="4"/>
  <c r="H67" i="4"/>
  <c r="G68" i="4"/>
  <c r="H68" i="4"/>
  <c r="G69" i="4"/>
  <c r="H69" i="4"/>
  <c r="G70" i="4"/>
  <c r="H70" i="4"/>
  <c r="G71" i="4"/>
  <c r="H71" i="4"/>
  <c r="G72" i="4"/>
  <c r="H72" i="4"/>
  <c r="G73" i="4"/>
  <c r="H73" i="4"/>
  <c r="G74" i="4"/>
  <c r="H74" i="4"/>
  <c r="G75" i="4"/>
  <c r="H75" i="4"/>
  <c r="G76" i="4"/>
  <c r="H76" i="4"/>
  <c r="G77" i="4"/>
  <c r="H77" i="4"/>
  <c r="G78" i="4"/>
  <c r="H78" i="4"/>
  <c r="G79" i="4"/>
  <c r="H79" i="4"/>
  <c r="G80" i="4"/>
  <c r="H80" i="4"/>
  <c r="G81" i="4"/>
  <c r="H81" i="4"/>
  <c r="G82" i="4"/>
  <c r="H82" i="4"/>
  <c r="G83" i="4"/>
  <c r="H83" i="4"/>
  <c r="G84" i="4"/>
  <c r="H84" i="4"/>
  <c r="G85" i="4"/>
  <c r="H85" i="4"/>
  <c r="G86" i="4"/>
  <c r="H86" i="4"/>
  <c r="G87" i="4"/>
  <c r="H87" i="4"/>
  <c r="G88" i="4"/>
  <c r="H88" i="4"/>
  <c r="G89" i="4"/>
  <c r="H89" i="4"/>
  <c r="G90" i="4"/>
  <c r="H90" i="4"/>
  <c r="G91" i="4"/>
  <c r="H91" i="4"/>
  <c r="G92" i="4"/>
  <c r="H92" i="4"/>
  <c r="G93" i="4"/>
  <c r="H93" i="4"/>
  <c r="G94" i="4"/>
  <c r="H94" i="4"/>
  <c r="G95" i="4"/>
  <c r="H95" i="4"/>
  <c r="G96" i="4"/>
  <c r="H96" i="4"/>
  <c r="G97" i="4"/>
  <c r="H97" i="4"/>
  <c r="G98" i="4"/>
  <c r="H98" i="4"/>
  <c r="G99" i="4"/>
  <c r="H99" i="4"/>
  <c r="G100" i="4"/>
  <c r="H100" i="4"/>
  <c r="H65" i="4"/>
  <c r="G65" i="4"/>
  <c r="AC57" i="4"/>
  <c r="AB57" i="4"/>
  <c r="AA57" i="4"/>
  <c r="Z57" i="4"/>
  <c r="Y57" i="4"/>
  <c r="X57" i="4"/>
  <c r="W57" i="4"/>
  <c r="V57" i="4"/>
  <c r="U57" i="4"/>
  <c r="T57" i="4"/>
  <c r="AC56" i="4"/>
  <c r="AB56" i="4"/>
  <c r="AA56" i="4"/>
  <c r="Z56" i="4"/>
  <c r="Y56" i="4"/>
  <c r="X56" i="4"/>
  <c r="W56" i="4"/>
  <c r="V56" i="4"/>
  <c r="U56" i="4"/>
  <c r="T56" i="4"/>
  <c r="D56" i="4"/>
  <c r="E56" i="4"/>
  <c r="F56" i="4"/>
  <c r="G56" i="4"/>
  <c r="H56" i="4"/>
  <c r="I56" i="4"/>
  <c r="J56" i="4"/>
  <c r="K56" i="4"/>
  <c r="L56" i="4"/>
  <c r="D57" i="4"/>
  <c r="E57" i="4"/>
  <c r="F57" i="4"/>
  <c r="G57" i="4"/>
  <c r="H57" i="4"/>
  <c r="I57" i="4"/>
  <c r="J57" i="4"/>
  <c r="K57" i="4"/>
  <c r="L57" i="4"/>
  <c r="C57" i="4"/>
  <c r="C56" i="4"/>
  <c r="AC43" i="4"/>
  <c r="AB43" i="4"/>
  <c r="AA43" i="4"/>
  <c r="Z43" i="4"/>
  <c r="Y43" i="4"/>
  <c r="X43" i="4"/>
  <c r="W43" i="4"/>
  <c r="V43" i="4"/>
  <c r="U43" i="4"/>
  <c r="T43" i="4"/>
  <c r="AC42" i="4"/>
  <c r="AB42" i="4"/>
  <c r="AA42" i="4"/>
  <c r="Z42" i="4"/>
  <c r="Y42" i="4"/>
  <c r="X42" i="4"/>
  <c r="W42" i="4"/>
  <c r="V42" i="4"/>
  <c r="U42" i="4"/>
  <c r="T42" i="4"/>
  <c r="D42" i="4"/>
  <c r="E42" i="4"/>
  <c r="F42" i="4"/>
  <c r="G42" i="4"/>
  <c r="H42" i="4"/>
  <c r="I42" i="4"/>
  <c r="J42" i="4"/>
  <c r="K42" i="4"/>
  <c r="L42" i="4"/>
  <c r="D43" i="4"/>
  <c r="E43" i="4"/>
  <c r="F43" i="4"/>
  <c r="G43" i="4"/>
  <c r="H43" i="4"/>
  <c r="I43" i="4"/>
  <c r="J43" i="4"/>
  <c r="K43" i="4"/>
  <c r="L43" i="4"/>
  <c r="C43" i="4"/>
  <c r="C42" i="4"/>
  <c r="U29" i="4"/>
  <c r="T29" i="4"/>
  <c r="U28" i="4"/>
  <c r="T28" i="4"/>
  <c r="D29" i="4"/>
  <c r="C29" i="4"/>
  <c r="D28" i="4"/>
  <c r="C28" i="4"/>
  <c r="T14" i="4"/>
  <c r="T13" i="4"/>
  <c r="C14" i="4"/>
  <c r="C13" i="4"/>
  <c r="R18" i="6" l="1"/>
  <c r="S18" i="6"/>
  <c r="T18" i="6"/>
  <c r="U18" i="6"/>
  <c r="V18" i="6"/>
  <c r="W18" i="6"/>
  <c r="X18" i="6"/>
  <c r="Y18" i="6"/>
  <c r="Z18" i="6"/>
  <c r="Q18" i="6"/>
  <c r="Q5" i="6" l="1"/>
  <c r="R9" i="6"/>
  <c r="Q9" i="6"/>
  <c r="C9" i="6"/>
  <c r="B9" i="6"/>
  <c r="B5" i="6"/>
  <c r="G5" i="5" l="1"/>
  <c r="G7" i="5" s="1"/>
  <c r="G9" i="5" s="1"/>
  <c r="F5" i="5"/>
  <c r="F7" i="5" s="1"/>
  <c r="F9" i="5" s="1"/>
  <c r="AB108" i="4" l="1"/>
  <c r="AB109" i="4"/>
  <c r="AB110" i="4"/>
  <c r="AB111" i="4"/>
  <c r="AB112" i="4"/>
  <c r="AB113" i="4"/>
  <c r="AB114" i="4"/>
  <c r="AB115" i="4"/>
  <c r="AB116" i="4"/>
  <c r="AB117" i="4"/>
  <c r="AB118" i="4"/>
  <c r="AB119" i="4"/>
  <c r="AB120" i="4"/>
  <c r="AB121" i="4"/>
  <c r="AB122" i="4"/>
  <c r="AB123" i="4"/>
  <c r="AB124" i="4"/>
  <c r="AB125" i="4"/>
  <c r="AB126" i="4"/>
  <c r="AB127" i="4"/>
  <c r="AB128" i="4"/>
  <c r="AB129" i="4"/>
  <c r="AB130" i="4"/>
  <c r="AC130" i="4" s="1"/>
  <c r="AB131" i="4"/>
  <c r="AB132" i="4"/>
  <c r="AB133" i="4"/>
  <c r="AB134" i="4"/>
  <c r="AB135" i="4"/>
  <c r="AB136" i="4"/>
  <c r="AB137" i="4"/>
  <c r="AB138" i="4"/>
  <c r="AB139" i="4"/>
  <c r="AB140" i="4"/>
  <c r="AB141" i="4"/>
  <c r="AB142" i="4"/>
  <c r="AB107" i="4"/>
  <c r="U108" i="4"/>
  <c r="U109" i="4"/>
  <c r="U110" i="4"/>
  <c r="U111" i="4"/>
  <c r="U112" i="4"/>
  <c r="U113" i="4"/>
  <c r="U114" i="4"/>
  <c r="U115" i="4"/>
  <c r="U116" i="4"/>
  <c r="U117" i="4"/>
  <c r="U118" i="4"/>
  <c r="U119" i="4"/>
  <c r="U120" i="4"/>
  <c r="U121" i="4"/>
  <c r="U122" i="4"/>
  <c r="U123" i="4"/>
  <c r="U124" i="4"/>
  <c r="U125" i="4"/>
  <c r="U126" i="4"/>
  <c r="U127" i="4"/>
  <c r="U128" i="4"/>
  <c r="U129" i="4"/>
  <c r="U131" i="4"/>
  <c r="U132" i="4"/>
  <c r="U133" i="4"/>
  <c r="U134" i="4"/>
  <c r="U135" i="4"/>
  <c r="U136" i="4"/>
  <c r="U137" i="4"/>
  <c r="U138" i="4"/>
  <c r="U139" i="4"/>
  <c r="U140" i="4"/>
  <c r="U141" i="4"/>
  <c r="U142" i="4"/>
  <c r="U107" i="4"/>
  <c r="AB66" i="4"/>
  <c r="AB67" i="4"/>
  <c r="AB68" i="4"/>
  <c r="AB69" i="4"/>
  <c r="AB70" i="4"/>
  <c r="AC70" i="4" s="1"/>
  <c r="AB71" i="4"/>
  <c r="AB72" i="4"/>
  <c r="AB73" i="4"/>
  <c r="AB74" i="4"/>
  <c r="AB75" i="4"/>
  <c r="AB76" i="4"/>
  <c r="AB77" i="4"/>
  <c r="AB78" i="4"/>
  <c r="AB79" i="4"/>
  <c r="AB80" i="4"/>
  <c r="AB81" i="4"/>
  <c r="AB82" i="4"/>
  <c r="AB83" i="4"/>
  <c r="AB84" i="4"/>
  <c r="AB85" i="4"/>
  <c r="AB86" i="4"/>
  <c r="AB87" i="4"/>
  <c r="AB88" i="4"/>
  <c r="AB89" i="4"/>
  <c r="AB90" i="4"/>
  <c r="AB91" i="4"/>
  <c r="AB92" i="4"/>
  <c r="AB93" i="4"/>
  <c r="AB94" i="4"/>
  <c r="AB95" i="4"/>
  <c r="AB96" i="4"/>
  <c r="AB97" i="4"/>
  <c r="AB98" i="4"/>
  <c r="AB99" i="4"/>
  <c r="AB100" i="4"/>
  <c r="AB65" i="4"/>
  <c r="U66" i="4"/>
  <c r="U67" i="4"/>
  <c r="U68" i="4"/>
  <c r="U69"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65" i="4"/>
  <c r="U58" i="4"/>
  <c r="V58" i="4"/>
  <c r="W58" i="4"/>
  <c r="X58" i="4"/>
  <c r="Y58" i="4"/>
  <c r="Z58" i="4"/>
  <c r="AA58" i="4"/>
  <c r="AB58" i="4"/>
  <c r="AC58" i="4"/>
  <c r="T58" i="4"/>
  <c r="U51" i="4"/>
  <c r="V51" i="4"/>
  <c r="W51" i="4"/>
  <c r="X51" i="4"/>
  <c r="Y51" i="4"/>
  <c r="Z51" i="4"/>
  <c r="AA51" i="4"/>
  <c r="AB51" i="4"/>
  <c r="AC51" i="4"/>
  <c r="T51" i="4"/>
  <c r="D58" i="4"/>
  <c r="E58" i="4"/>
  <c r="F58" i="4"/>
  <c r="G58" i="4"/>
  <c r="H58" i="4"/>
  <c r="I58" i="4"/>
  <c r="J58" i="4"/>
  <c r="K58" i="4"/>
  <c r="L58" i="4"/>
  <c r="C58" i="4"/>
  <c r="D51" i="4"/>
  <c r="E51" i="4"/>
  <c r="F51" i="4"/>
  <c r="G51" i="4"/>
  <c r="H51" i="4"/>
  <c r="I51" i="4"/>
  <c r="J51" i="4"/>
  <c r="K51" i="4"/>
  <c r="L51" i="4"/>
  <c r="C51" i="4"/>
  <c r="U44" i="4"/>
  <c r="V44" i="4"/>
  <c r="W44" i="4"/>
  <c r="X44" i="4"/>
  <c r="Y44" i="4"/>
  <c r="Z44" i="4"/>
  <c r="AA44" i="4"/>
  <c r="AB44" i="4"/>
  <c r="AC44" i="4"/>
  <c r="T44" i="4"/>
  <c r="U37" i="4"/>
  <c r="V37" i="4"/>
  <c r="W37" i="4"/>
  <c r="X37" i="4"/>
  <c r="Y37" i="4"/>
  <c r="Z37" i="4"/>
  <c r="AA37" i="4"/>
  <c r="AB37" i="4"/>
  <c r="AC37" i="4"/>
  <c r="T37" i="4"/>
  <c r="D44" i="4"/>
  <c r="E44" i="4"/>
  <c r="F44" i="4"/>
  <c r="G44" i="4"/>
  <c r="H44" i="4"/>
  <c r="I44" i="4"/>
  <c r="J44" i="4"/>
  <c r="K44" i="4"/>
  <c r="L44" i="4"/>
  <c r="C44" i="4"/>
  <c r="D37" i="4"/>
  <c r="E37" i="4"/>
  <c r="F37" i="4"/>
  <c r="G37" i="4"/>
  <c r="H37" i="4"/>
  <c r="I37" i="4"/>
  <c r="J37" i="4"/>
  <c r="K37" i="4"/>
  <c r="L37" i="4"/>
  <c r="C37" i="4"/>
  <c r="U30" i="4"/>
  <c r="T30" i="4"/>
  <c r="U23" i="4"/>
  <c r="T23" i="4"/>
  <c r="T15" i="4"/>
  <c r="T8" i="4"/>
  <c r="C15" i="4"/>
  <c r="C8" i="4"/>
  <c r="K108" i="4"/>
  <c r="K109" i="4"/>
  <c r="K110" i="4"/>
  <c r="K111" i="4"/>
  <c r="K112" i="4"/>
  <c r="L112" i="4" s="1"/>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07"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65" i="4"/>
  <c r="D108" i="4"/>
  <c r="D109" i="4"/>
  <c r="D110" i="4"/>
  <c r="D111"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07"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65" i="4"/>
  <c r="D30" i="4"/>
  <c r="C30" i="4"/>
  <c r="D23" i="4"/>
  <c r="C23" i="4"/>
  <c r="L95" i="4" l="1"/>
  <c r="AC123" i="4"/>
  <c r="AC115" i="4"/>
  <c r="L87" i="4"/>
  <c r="L79" i="4"/>
  <c r="L71" i="4"/>
  <c r="L141" i="4"/>
  <c r="L133" i="4"/>
  <c r="L125" i="4"/>
  <c r="L117" i="4"/>
  <c r="AC98" i="4"/>
  <c r="AC90" i="4"/>
  <c r="AC82" i="4"/>
  <c r="AC74" i="4"/>
  <c r="AC139" i="4"/>
  <c r="AC131" i="4"/>
  <c r="AC66" i="4"/>
  <c r="AC138" i="4"/>
  <c r="AC121" i="4"/>
  <c r="AC129" i="4"/>
  <c r="AC97" i="4"/>
  <c r="AC122" i="4"/>
  <c r="AC114" i="4"/>
  <c r="L100" i="4"/>
  <c r="L92" i="4"/>
  <c r="L84" i="4"/>
  <c r="L76" i="4"/>
  <c r="AC89" i="4"/>
  <c r="L65" i="4"/>
  <c r="L93" i="4"/>
  <c r="L85" i="4"/>
  <c r="L77" i="4"/>
  <c r="L69" i="4"/>
  <c r="L139" i="4"/>
  <c r="L131" i="4"/>
  <c r="L115" i="4"/>
  <c r="AC96" i="4"/>
  <c r="AC88" i="4"/>
  <c r="AC80" i="4"/>
  <c r="AC72" i="4"/>
  <c r="AC137" i="4"/>
  <c r="AC81" i="4"/>
  <c r="AC73" i="4"/>
  <c r="L123" i="4"/>
  <c r="AC113" i="4"/>
  <c r="AC128" i="4"/>
  <c r="AC120" i="4"/>
  <c r="AC112" i="4"/>
  <c r="L94" i="4"/>
  <c r="L86" i="4"/>
  <c r="L78" i="4"/>
  <c r="L70" i="4"/>
  <c r="L140" i="4"/>
  <c r="L132" i="4"/>
  <c r="L124" i="4"/>
  <c r="L116" i="4"/>
  <c r="L108" i="4"/>
  <c r="L109" i="4"/>
  <c r="L68" i="4"/>
  <c r="L138" i="4"/>
  <c r="L130" i="4"/>
  <c r="L122" i="4"/>
  <c r="L114" i="4"/>
  <c r="AC95" i="4"/>
  <c r="AC87" i="4"/>
  <c r="AC79" i="4"/>
  <c r="AC71" i="4"/>
  <c r="AC136" i="4"/>
  <c r="L99" i="4"/>
  <c r="L91" i="4"/>
  <c r="L83" i="4"/>
  <c r="L75" i="4"/>
  <c r="L67" i="4"/>
  <c r="L137" i="4"/>
  <c r="L129" i="4"/>
  <c r="L121" i="4"/>
  <c r="L113" i="4"/>
  <c r="AC94" i="4"/>
  <c r="AC86" i="4"/>
  <c r="AC78" i="4"/>
  <c r="AC107" i="4"/>
  <c r="AC135" i="4"/>
  <c r="AC127" i="4"/>
  <c r="AC119" i="4"/>
  <c r="AC111" i="4"/>
  <c r="L98" i="4"/>
  <c r="L90" i="4"/>
  <c r="L82" i="4"/>
  <c r="L74" i="4"/>
  <c r="L66" i="4"/>
  <c r="L136" i="4"/>
  <c r="L128" i="4"/>
  <c r="L120" i="4"/>
  <c r="AC65" i="4"/>
  <c r="AC93" i="4"/>
  <c r="AC85" i="4"/>
  <c r="AC77" i="4"/>
  <c r="AC69" i="4"/>
  <c r="AC142" i="4"/>
  <c r="AC134" i="4"/>
  <c r="AC126" i="4"/>
  <c r="AC118" i="4"/>
  <c r="AC110" i="4"/>
  <c r="L97" i="4"/>
  <c r="L89" i="4"/>
  <c r="L81" i="4"/>
  <c r="L73" i="4"/>
  <c r="L107" i="4"/>
  <c r="L135" i="4"/>
  <c r="L127" i="4"/>
  <c r="L119" i="4"/>
  <c r="L111" i="4"/>
  <c r="AC100" i="4"/>
  <c r="AC92" i="4"/>
  <c r="AC84" i="4"/>
  <c r="AC76" i="4"/>
  <c r="AC68" i="4"/>
  <c r="AC141" i="4"/>
  <c r="AC133" i="4"/>
  <c r="AC125" i="4"/>
  <c r="AC117" i="4"/>
  <c r="AC109" i="4"/>
  <c r="L96" i="4"/>
  <c r="L88" i="4"/>
  <c r="L80" i="4"/>
  <c r="L72" i="4"/>
  <c r="L142" i="4"/>
  <c r="L134" i="4"/>
  <c r="L126" i="4"/>
  <c r="L118" i="4"/>
  <c r="L110" i="4"/>
  <c r="AC99" i="4"/>
  <c r="AC91" i="4"/>
  <c r="AC83" i="4"/>
  <c r="AC75" i="4"/>
  <c r="AC67" i="4"/>
  <c r="AC140" i="4"/>
  <c r="AC132" i="4"/>
  <c r="AC124" i="4"/>
  <c r="AC116" i="4"/>
  <c r="AC108" i="4"/>
  <c r="S7" i="3"/>
  <c r="S8" i="3"/>
  <c r="S6" i="3"/>
  <c r="T7" i="2"/>
  <c r="T6" i="2"/>
  <c r="D7" i="3" l="1"/>
  <c r="D8" i="3"/>
  <c r="D6" i="3"/>
  <c r="D6" i="2"/>
  <c r="D7" i="2"/>
</calcChain>
</file>

<file path=xl/sharedStrings.xml><?xml version="1.0" encoding="utf-8"?>
<sst xmlns="http://schemas.openxmlformats.org/spreadsheetml/2006/main" count="838" uniqueCount="170">
  <si>
    <t>sample_size</t>
  </si>
  <si>
    <t>LPG</t>
  </si>
  <si>
    <t>charcoal</t>
  </si>
  <si>
    <t>coke, coal</t>
  </si>
  <si>
    <t>dung cake</t>
  </si>
  <si>
    <t>electricity</t>
  </si>
  <si>
    <t>firewood and chips</t>
  </si>
  <si>
    <t>gobar gas</t>
  </si>
  <si>
    <t>kerosene</t>
  </si>
  <si>
    <t>no cooking arrangement</t>
  </si>
  <si>
    <t>other biogas</t>
  </si>
  <si>
    <t>other natural gas</t>
  </si>
  <si>
    <t>others</t>
  </si>
  <si>
    <t>Across India</t>
  </si>
  <si>
    <t>rural</t>
  </si>
  <si>
    <t>urban</t>
  </si>
  <si>
    <t>popn_size</t>
  </si>
  <si>
    <t>popn_share</t>
  </si>
  <si>
    <t>Rural vs Urban</t>
  </si>
  <si>
    <t>Rural across deciles (Population shares)</t>
  </si>
  <si>
    <t>Urban across deciles (Population shares)</t>
  </si>
  <si>
    <t>receieved_subsidy_lpg</t>
  </si>
  <si>
    <t>no</t>
  </si>
  <si>
    <t>yes</t>
  </si>
  <si>
    <t>Rural</t>
  </si>
  <si>
    <t>Urban</t>
  </si>
  <si>
    <t>Received (Yes)</t>
  </si>
  <si>
    <t>Sector</t>
  </si>
  <si>
    <t>Received</t>
  </si>
  <si>
    <t>Number of cylinders</t>
  </si>
  <si>
    <t>Cooking source</t>
  </si>
  <si>
    <t>Particulars</t>
  </si>
  <si>
    <t>Unit</t>
  </si>
  <si>
    <t>INR</t>
  </si>
  <si>
    <t>All India (Last 3 months)</t>
  </si>
  <si>
    <t>Rural vs Urban (Last 3 months)</t>
  </si>
  <si>
    <t>Rural across deciles (Last 3 months)</t>
  </si>
  <si>
    <t>Urban across deciles (Last 3 months)</t>
  </si>
  <si>
    <t>Across India (Last 3 months)</t>
  </si>
  <si>
    <t>Rural vs Urban (across deciles) (Last 3 months)</t>
  </si>
  <si>
    <t>Across India (Last 30 days)</t>
  </si>
  <si>
    <t>Per capita consumption</t>
  </si>
  <si>
    <t>Rural vs Urban (Last 30 days)</t>
  </si>
  <si>
    <t>Rural across deciles (Last 30 days)</t>
  </si>
  <si>
    <t>Urban across deciles (Last 30 days)</t>
  </si>
  <si>
    <t>LPG quantity</t>
  </si>
  <si>
    <t>LPG value</t>
  </si>
  <si>
    <t>Kgs</t>
  </si>
  <si>
    <t>Decile</t>
  </si>
  <si>
    <t>2022-23</t>
  </si>
  <si>
    <t>2023-24</t>
  </si>
  <si>
    <t>Firewood quantity (total)</t>
  </si>
  <si>
    <t>Firewood value (total)</t>
  </si>
  <si>
    <t>Firewood quantity (mkt)</t>
  </si>
  <si>
    <t>Firewood value (mkt)</t>
  </si>
  <si>
    <t>Firewood</t>
  </si>
  <si>
    <t>state</t>
  </si>
  <si>
    <t>A and N Islands (U.T.)</t>
  </si>
  <si>
    <t>Andhra Pradesh</t>
  </si>
  <si>
    <t>Arunachal Pradesh</t>
  </si>
  <si>
    <t>Assam</t>
  </si>
  <si>
    <t>Bihar</t>
  </si>
  <si>
    <t>Chandigarh(U.T.)</t>
  </si>
  <si>
    <t>Chattisgarh</t>
  </si>
  <si>
    <t>Dadra &amp; Nagar Haveli</t>
  </si>
  <si>
    <t>Delhi</t>
  </si>
  <si>
    <t>Goa</t>
  </si>
  <si>
    <t>Gujarat</t>
  </si>
  <si>
    <t>Haryana</t>
  </si>
  <si>
    <t>Himachal Pradesh</t>
  </si>
  <si>
    <t>Jammu &amp; Kashmir</t>
  </si>
  <si>
    <t>Jharkhand</t>
  </si>
  <si>
    <t>Karnataka</t>
  </si>
  <si>
    <t>Kerala</t>
  </si>
  <si>
    <t>Ladakh (U.T.)</t>
  </si>
  <si>
    <t>Lakshadweep (U.T.)</t>
  </si>
  <si>
    <t>Madhya Pradesh</t>
  </si>
  <si>
    <t>Maharashtra</t>
  </si>
  <si>
    <t>Manipur</t>
  </si>
  <si>
    <t>Meghalaya</t>
  </si>
  <si>
    <t>Mizoram</t>
  </si>
  <si>
    <t>Nagaland</t>
  </si>
  <si>
    <t>Odisha</t>
  </si>
  <si>
    <t>Puducherry (U.T.)</t>
  </si>
  <si>
    <t>Punjab</t>
  </si>
  <si>
    <t>Rajasthan</t>
  </si>
  <si>
    <t>Sikkim</t>
  </si>
  <si>
    <t>Tamilnadu</t>
  </si>
  <si>
    <t>Telangana</t>
  </si>
  <si>
    <t>Tripura</t>
  </si>
  <si>
    <t>Uttar Prdesh</t>
  </si>
  <si>
    <t>Uttrakhand</t>
  </si>
  <si>
    <t>West Bengal</t>
  </si>
  <si>
    <t>Expenditure per Useful MJ
(INR/MJ)</t>
  </si>
  <si>
    <t>Rural across states cost comparison per MJ</t>
  </si>
  <si>
    <t>Urban across states cost comparison per MJ</t>
  </si>
  <si>
    <t>Expenditure Mkt qty
(in Kg)</t>
  </si>
  <si>
    <t>Expenditure Mkt value 
(in INR)</t>
  </si>
  <si>
    <t>LPG expenditure per useful MJ</t>
  </si>
  <si>
    <t>INR/MJ</t>
  </si>
  <si>
    <t>Firewood expenditure per useful MJ</t>
  </si>
  <si>
    <t>Calorific value 
(MJ/KG)</t>
  </si>
  <si>
    <t>Efficiency 
(%)</t>
  </si>
  <si>
    <t>Edit this to change inputs for expenditure per useful MJ everywhere</t>
  </si>
  <si>
    <t>Firewood mkt expenditure per useful MJ</t>
  </si>
  <si>
    <t>Mkt expenditure per Useful MJ
(INR/MJ)</t>
  </si>
  <si>
    <t>Expenditure qty
(in Kg)</t>
  </si>
  <si>
    <t>Expenditure value 
(in INR)</t>
  </si>
  <si>
    <t>Total consumption</t>
  </si>
  <si>
    <t>Kg</t>
  </si>
  <si>
    <t>Crore</t>
  </si>
  <si>
    <t>ID</t>
  </si>
  <si>
    <t>A</t>
  </si>
  <si>
    <t>B</t>
  </si>
  <si>
    <t>Million Tonnes</t>
  </si>
  <si>
    <t>C=A*12*B/100</t>
  </si>
  <si>
    <t>FY 2022-23</t>
  </si>
  <si>
    <t>Units</t>
  </si>
  <si>
    <t>Source</t>
  </si>
  <si>
    <t>HCES</t>
  </si>
  <si>
    <t>Population (2023)</t>
  </si>
  <si>
    <t>World Bank</t>
  </si>
  <si>
    <t>Calculated</t>
  </si>
  <si>
    <t>FY 2023-24</t>
  </si>
  <si>
    <t>D</t>
  </si>
  <si>
    <t>Difference (PPAC - HCES)</t>
  </si>
  <si>
    <t>E = D-C</t>
  </si>
  <si>
    <t>PPAC monthly marketing report</t>
  </si>
  <si>
    <t>Consumption (OMC + PMS) as per PPAC</t>
  </si>
  <si>
    <t># of cylinders</t>
  </si>
  <si>
    <t>All India</t>
  </si>
  <si>
    <t>LPG - BCS (diff)</t>
  </si>
  <si>
    <t>Share (mkt) Firewood value</t>
  </si>
  <si>
    <t>Share (mkt) Firewood quantity</t>
  </si>
  <si>
    <t>Percent</t>
  </si>
  <si>
    <t>Expenditure Total qty
(in Kg)</t>
  </si>
  <si>
    <t>Expenditure Total value 
(in INR)</t>
  </si>
  <si>
    <t>Share (mkt) quantity</t>
  </si>
  <si>
    <t>Share (mkt) value</t>
  </si>
  <si>
    <t>LPG 
MPCE
(INR)</t>
  </si>
  <si>
    <t>Overall MPCE
(INR)</t>
  </si>
  <si>
    <t>Share 
LPG
(percent)</t>
  </si>
  <si>
    <t>Primary cooking source</t>
  </si>
  <si>
    <t>Firewood mkt MPCE
(INR)</t>
  </si>
  <si>
    <t>Share Firewood mkt
(percent)</t>
  </si>
  <si>
    <t>Share LPG+Firewood mkt
(percent)</t>
  </si>
  <si>
    <t>Across Rural Deciles - LPG primary cooking fuel</t>
  </si>
  <si>
    <t>Across Rural Deciles - Firewood primary cooking fuel</t>
  </si>
  <si>
    <t>Across Urban Deciles - LPG primary cooking fuel</t>
  </si>
  <si>
    <t>Across Urban Deciles - Firewood primary cooking fuel</t>
  </si>
  <si>
    <t>LPG or firewood</t>
  </si>
  <si>
    <t>Across Rural Deciles - LPG or Firewood primary cooking fuel</t>
  </si>
  <si>
    <t>Across Urban Deciles - LPG or Firewood primary cooking fuel</t>
  </si>
  <si>
    <t>Sno</t>
  </si>
  <si>
    <t>Sheet</t>
  </si>
  <si>
    <t>Details</t>
  </si>
  <si>
    <t>LPG subsidy</t>
  </si>
  <si>
    <t>Subsidized cylinder count</t>
  </si>
  <si>
    <t>Average consumption - PC 30 day</t>
  </si>
  <si>
    <t>Average cylinders - HH 1 yr</t>
  </si>
  <si>
    <t>PPAC vs HCES LPG consumption</t>
  </si>
  <si>
    <t>Share LPG and firewood exp</t>
  </si>
  <si>
    <t>Percentage breakdown of households based on primary fuel used for cooking</t>
  </si>
  <si>
    <t>Percentage breakdown of households based on access to LPG subsidy.</t>
  </si>
  <si>
    <t>Percentage breakdown of households based on the number of subsidised LPG cylinders consumed in the last 3 months.</t>
  </si>
  <si>
    <t>Average per capita consumption of LPG and firewood in the last 30 days.</t>
  </si>
  <si>
    <t>Average number of 14.2 kg cylinders consumed by households in the last 1 year.</t>
  </si>
  <si>
    <t>Share of monthly per capita expenditure on firewood and LPG.</t>
  </si>
  <si>
    <t>Comparison of LPG consumption from HCES and PPAC.</t>
  </si>
  <si>
    <t>This workbook contains a comparative analysis of various aspects of LPG and firewood consumption in India, as covered in the Household Consumption Expenditure Surveys for 2022-23 and 2023-24. These statistics help identify population groups that need to be targeted for improving LPG penetration in the country. 
For each of the themes mentioned below, statistics were generated at the following granularity: (a) All India, (b) Rural vs Urban areas, and (c) Deciles in Rural and Urban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</si>
</sst>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0.0"/>
    <numFmt numFmtId="165" formatCode="_ * #,##0_ ;_ * \-#,##0_ ;_ * &quot;-&quot;??_ ;_ @_ "/>
    <numFmt numFmtId="166" formatCode="0.0%"/>
    <numFmt numFmtId="167" formatCode="0.0000000000000000%"/>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22"/>
      <color theme="1"/>
      <name val="Calibri"/>
      <family val="2"/>
      <scheme val="minor"/>
    </font>
    <font>
      <b/>
      <sz val="11"/>
      <name val="Calibri"/>
      <family val="2"/>
      <scheme val="minor"/>
    </font>
    <font>
      <u/>
      <sz val="11"/>
      <color theme="10"/>
      <name val="Calibri"/>
      <family val="2"/>
      <scheme val="minor"/>
    </font>
    <font>
      <sz val="11"/>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thin">
        <color rgb="FF000000"/>
      </top>
      <bottom style="thin">
        <color rgb="FF000000"/>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indexed="64"/>
      </left>
      <right/>
      <top style="medium">
        <color indexed="64"/>
      </top>
      <bottom style="medium">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rgb="FF000000"/>
      </right>
      <top/>
      <bottom style="thin">
        <color rgb="FF000000"/>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cellStyleXfs>
  <cellXfs count="169">
    <xf numFmtId="0" fontId="0" fillId="0" borderId="0" xfId="0"/>
    <xf numFmtId="0" fontId="0" fillId="2" borderId="0" xfId="0" applyFill="1"/>
    <xf numFmtId="0" fontId="2" fillId="2" borderId="2" xfId="0" applyFont="1" applyFill="1" applyBorder="1"/>
    <xf numFmtId="0" fontId="4" fillId="2" borderId="2"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3" fillId="2" borderId="3" xfId="0" applyFont="1" applyFill="1" applyBorder="1" applyAlignment="1">
      <alignment vertical="center" wrapText="1"/>
    </xf>
    <xf numFmtId="9" fontId="0" fillId="2" borderId="2" xfId="2" applyFont="1" applyFill="1" applyBorder="1"/>
    <xf numFmtId="0" fontId="3" fillId="2" borderId="0" xfId="0" applyFont="1" applyFill="1" applyBorder="1" applyAlignment="1">
      <alignment vertical="center" wrapText="1"/>
    </xf>
    <xf numFmtId="0" fontId="0" fillId="2" borderId="0" xfId="0" applyFill="1" applyBorder="1"/>
    <xf numFmtId="0" fontId="0" fillId="2" borderId="2" xfId="0" applyFill="1" applyBorder="1"/>
    <xf numFmtId="9" fontId="3" fillId="2" borderId="2" xfId="2" applyFont="1" applyFill="1" applyBorder="1" applyAlignment="1">
      <alignment vertical="center" wrapText="1"/>
    </xf>
    <xf numFmtId="9" fontId="0" fillId="2" borderId="0" xfId="2" applyFont="1" applyFill="1" applyBorder="1"/>
    <xf numFmtId="9" fontId="0" fillId="2" borderId="2" xfId="0" applyNumberFormat="1" applyFill="1" applyBorder="1"/>
    <xf numFmtId="0" fontId="0" fillId="2" borderId="7" xfId="0" applyFill="1" applyBorder="1"/>
    <xf numFmtId="0" fontId="0" fillId="2" borderId="8" xfId="0" applyFill="1" applyBorder="1"/>
    <xf numFmtId="0" fontId="2" fillId="2" borderId="7" xfId="0" applyFont="1" applyFill="1" applyBorder="1"/>
    <xf numFmtId="0" fontId="2" fillId="2" borderId="9" xfId="0" applyFont="1" applyFill="1" applyBorder="1"/>
    <xf numFmtId="0" fontId="3" fillId="2" borderId="10" xfId="0" applyFont="1" applyFill="1" applyBorder="1" applyAlignment="1">
      <alignment vertical="center" wrapText="1"/>
    </xf>
    <xf numFmtId="0" fontId="0" fillId="2" borderId="9" xfId="0" applyFill="1" applyBorder="1"/>
    <xf numFmtId="0" fontId="3" fillId="2" borderId="9" xfId="0" applyFont="1" applyFill="1" applyBorder="1" applyAlignment="1">
      <alignment horizontal="left" vertical="center" wrapText="1"/>
    </xf>
    <xf numFmtId="0" fontId="3" fillId="2" borderId="2" xfId="0" applyFont="1" applyFill="1" applyBorder="1" applyAlignment="1">
      <alignment vertical="center" wrapText="1"/>
    </xf>
    <xf numFmtId="0" fontId="4" fillId="2" borderId="1" xfId="0" applyFont="1" applyFill="1" applyBorder="1" applyAlignment="1">
      <alignment horizontal="center" vertical="center" wrapText="1"/>
    </xf>
    <xf numFmtId="9" fontId="3" fillId="2" borderId="1" xfId="2" applyFont="1" applyFill="1" applyBorder="1" applyAlignment="1">
      <alignment vertical="center" wrapText="1"/>
    </xf>
    <xf numFmtId="0" fontId="0" fillId="2" borderId="2" xfId="0" applyFont="1" applyFill="1" applyBorder="1"/>
    <xf numFmtId="0" fontId="4" fillId="2" borderId="9" xfId="0" applyFont="1" applyFill="1" applyBorder="1" applyAlignment="1">
      <alignment horizontal="center" vertical="center" wrapText="1"/>
    </xf>
    <xf numFmtId="0" fontId="3" fillId="2" borderId="9" xfId="0" applyFont="1" applyFill="1" applyBorder="1" applyAlignment="1">
      <alignment vertical="center" wrapText="1"/>
    </xf>
    <xf numFmtId="0" fontId="4" fillId="2" borderId="16" xfId="0" applyFont="1" applyFill="1" applyBorder="1" applyAlignment="1">
      <alignment horizontal="center" vertical="center" wrapText="1"/>
    </xf>
    <xf numFmtId="0" fontId="3" fillId="2" borderId="16" xfId="0" applyFont="1" applyFill="1" applyBorder="1" applyAlignment="1">
      <alignment horizontal="left" vertical="center" wrapText="1"/>
    </xf>
    <xf numFmtId="0" fontId="0" fillId="2" borderId="9" xfId="0" applyFont="1" applyFill="1" applyBorder="1"/>
    <xf numFmtId="0" fontId="4" fillId="2" borderId="3" xfId="0" applyFont="1" applyFill="1" applyBorder="1" applyAlignment="1">
      <alignment horizontal="center" vertical="center" wrapText="1"/>
    </xf>
    <xf numFmtId="0" fontId="3" fillId="2" borderId="1" xfId="0" applyFont="1" applyFill="1" applyBorder="1" applyAlignment="1">
      <alignment vertical="center" wrapText="1"/>
    </xf>
    <xf numFmtId="0" fontId="2" fillId="2" borderId="2" xfId="0" applyFont="1" applyFill="1" applyBorder="1" applyAlignment="1">
      <alignment wrapText="1"/>
    </xf>
    <xf numFmtId="0" fontId="3" fillId="2" borderId="16" xfId="0" applyFont="1" applyFill="1" applyBorder="1" applyAlignment="1">
      <alignment vertical="center" wrapText="1"/>
    </xf>
    <xf numFmtId="0" fontId="2" fillId="2" borderId="9" xfId="0" applyFont="1" applyFill="1" applyBorder="1" applyAlignment="1">
      <alignment wrapText="1"/>
    </xf>
    <xf numFmtId="164" fontId="0" fillId="2" borderId="2" xfId="0" applyNumberFormat="1" applyFill="1" applyBorder="1"/>
    <xf numFmtId="164" fontId="3" fillId="2" borderId="1" xfId="0" applyNumberFormat="1" applyFont="1" applyFill="1" applyBorder="1" applyAlignment="1">
      <alignment vertical="center" wrapText="1"/>
    </xf>
    <xf numFmtId="0" fontId="0" fillId="3" borderId="0" xfId="0" applyFill="1"/>
    <xf numFmtId="0" fontId="2" fillId="3" borderId="7" xfId="0" applyFont="1" applyFill="1" applyBorder="1"/>
    <xf numFmtId="0" fontId="3" fillId="3" borderId="1" xfId="0" applyFont="1" applyFill="1" applyBorder="1" applyAlignment="1">
      <alignment vertical="center" wrapText="1"/>
    </xf>
    <xf numFmtId="9" fontId="3" fillId="3" borderId="1" xfId="2" applyFont="1" applyFill="1" applyBorder="1" applyAlignment="1">
      <alignment vertical="center" wrapText="1"/>
    </xf>
    <xf numFmtId="9" fontId="0" fillId="3" borderId="0" xfId="2" applyFont="1" applyFill="1"/>
    <xf numFmtId="0" fontId="2" fillId="3" borderId="0" xfId="0" applyFont="1" applyFill="1" applyBorder="1"/>
    <xf numFmtId="0" fontId="0" fillId="3" borderId="0" xfId="0" applyFill="1" applyBorder="1"/>
    <xf numFmtId="0" fontId="2" fillId="3" borderId="2" xfId="0" applyFont="1" applyFill="1" applyBorder="1"/>
    <xf numFmtId="0" fontId="4" fillId="3" borderId="2" xfId="0" applyFont="1" applyFill="1" applyBorder="1" applyAlignment="1">
      <alignment horizontal="center" vertical="center" wrapText="1"/>
    </xf>
    <xf numFmtId="0" fontId="0" fillId="3" borderId="2" xfId="0" applyFill="1" applyBorder="1"/>
    <xf numFmtId="9" fontId="0" fillId="3" borderId="2" xfId="2" applyFont="1" applyFill="1" applyBorder="1"/>
    <xf numFmtId="0" fontId="2" fillId="3" borderId="0" xfId="0" applyFont="1" applyFill="1"/>
    <xf numFmtId="0" fontId="4" fillId="3" borderId="19" xfId="0" applyFont="1" applyFill="1" applyBorder="1" applyAlignment="1">
      <alignment horizontal="center" vertical="center" wrapText="1"/>
    </xf>
    <xf numFmtId="0" fontId="3" fillId="3" borderId="4" xfId="0" applyFont="1" applyFill="1" applyBorder="1" applyAlignment="1">
      <alignment vertical="center" wrapText="1"/>
    </xf>
    <xf numFmtId="0" fontId="0" fillId="3" borderId="14" xfId="0" applyFill="1" applyBorder="1"/>
    <xf numFmtId="0" fontId="0" fillId="3" borderId="15" xfId="0" applyFill="1" applyBorder="1"/>
    <xf numFmtId="0" fontId="2" fillId="3" borderId="2" xfId="0" applyFont="1" applyFill="1" applyBorder="1" applyAlignment="1">
      <alignment wrapText="1"/>
    </xf>
    <xf numFmtId="9" fontId="0" fillId="3" borderId="2" xfId="0" applyNumberFormat="1" applyFill="1" applyBorder="1"/>
    <xf numFmtId="0" fontId="0" fillId="3" borderId="7" xfId="0" applyFill="1" applyBorder="1"/>
    <xf numFmtId="0" fontId="0" fillId="3" borderId="8" xfId="0" applyFill="1" applyBorder="1"/>
    <xf numFmtId="164" fontId="0" fillId="3" borderId="2" xfId="0" applyNumberFormat="1" applyFill="1" applyBorder="1"/>
    <xf numFmtId="165" fontId="3" fillId="2" borderId="2" xfId="1" applyNumberFormat="1" applyFont="1" applyFill="1" applyBorder="1" applyAlignment="1">
      <alignment vertical="center" wrapText="1"/>
    </xf>
    <xf numFmtId="165" fontId="0" fillId="3" borderId="2" xfId="1" applyNumberFormat="1" applyFont="1" applyFill="1" applyBorder="1"/>
    <xf numFmtId="164" fontId="3" fillId="3" borderId="1" xfId="0" applyNumberFormat="1" applyFont="1" applyFill="1" applyBorder="1" applyAlignment="1">
      <alignment vertical="center" wrapText="1"/>
    </xf>
    <xf numFmtId="164" fontId="0" fillId="2" borderId="0" xfId="0" applyNumberFormat="1" applyFill="1"/>
    <xf numFmtId="164" fontId="3" fillId="2" borderId="21" xfId="0" applyNumberFormat="1" applyFont="1" applyFill="1" applyBorder="1" applyAlignment="1">
      <alignment vertical="center" wrapText="1"/>
    </xf>
    <xf numFmtId="2" fontId="0" fillId="2" borderId="0" xfId="0" applyNumberFormat="1" applyFill="1"/>
    <xf numFmtId="164" fontId="0" fillId="2" borderId="0" xfId="0" applyNumberFormat="1" applyFill="1" applyBorder="1"/>
    <xf numFmtId="164" fontId="0" fillId="3" borderId="0" xfId="0" applyNumberFormat="1" applyFill="1" applyBorder="1"/>
    <xf numFmtId="0" fontId="2" fillId="2" borderId="0" xfId="0" applyFont="1" applyFill="1" applyBorder="1" applyAlignment="1">
      <alignment wrapText="1"/>
    </xf>
    <xf numFmtId="0" fontId="0" fillId="2" borderId="7" xfId="0" applyFont="1" applyFill="1" applyBorder="1"/>
    <xf numFmtId="0" fontId="0" fillId="3" borderId="2" xfId="0" applyFont="1" applyFill="1" applyBorder="1"/>
    <xf numFmtId="0" fontId="0" fillId="3" borderId="2" xfId="0" applyFill="1" applyBorder="1" applyAlignment="1">
      <alignment wrapText="1"/>
    </xf>
    <xf numFmtId="0" fontId="0" fillId="2" borderId="9" xfId="0" applyFill="1" applyBorder="1" applyAlignment="1">
      <alignment wrapText="1"/>
    </xf>
    <xf numFmtId="0" fontId="0" fillId="4" borderId="2" xfId="0" applyFill="1" applyBorder="1"/>
    <xf numFmtId="0" fontId="6" fillId="2" borderId="0" xfId="0" applyFont="1" applyFill="1" applyBorder="1"/>
    <xf numFmtId="0" fontId="2" fillId="4" borderId="2" xfId="0" applyFont="1" applyFill="1" applyBorder="1" applyAlignment="1">
      <alignment wrapText="1"/>
    </xf>
    <xf numFmtId="166" fontId="0" fillId="2" borderId="2" xfId="2" applyNumberFormat="1" applyFont="1" applyFill="1" applyBorder="1"/>
    <xf numFmtId="9" fontId="0" fillId="2" borderId="2" xfId="2" applyNumberFormat="1" applyFont="1" applyFill="1" applyBorder="1"/>
    <xf numFmtId="166" fontId="3" fillId="2" borderId="0" xfId="2" applyNumberFormat="1" applyFont="1" applyFill="1" applyBorder="1" applyAlignment="1">
      <alignment vertical="center" wrapText="1"/>
    </xf>
    <xf numFmtId="166" fontId="3" fillId="3" borderId="1" xfId="2" applyNumberFormat="1" applyFont="1" applyFill="1" applyBorder="1" applyAlignment="1">
      <alignment vertical="center" wrapText="1"/>
    </xf>
    <xf numFmtId="167" fontId="3" fillId="2" borderId="0" xfId="0" applyNumberFormat="1" applyFont="1" applyFill="1" applyBorder="1" applyAlignment="1">
      <alignment vertical="center" wrapText="1"/>
    </xf>
    <xf numFmtId="165" fontId="0" fillId="0" borderId="0" xfId="1" applyNumberFormat="1" applyFont="1"/>
    <xf numFmtId="0" fontId="2" fillId="0" borderId="2" xfId="0" applyFont="1" applyBorder="1"/>
    <xf numFmtId="0" fontId="0" fillId="0" borderId="2" xfId="0" applyBorder="1"/>
    <xf numFmtId="2" fontId="0" fillId="0" borderId="2" xfId="0" applyNumberFormat="1" applyBorder="1"/>
    <xf numFmtId="1" fontId="0" fillId="0" borderId="2" xfId="0" applyNumberFormat="1" applyBorder="1"/>
    <xf numFmtId="0" fontId="7" fillId="0" borderId="2" xfId="3" applyBorder="1"/>
    <xf numFmtId="0" fontId="0" fillId="0" borderId="2" xfId="0" quotePrefix="1" applyBorder="1"/>
    <xf numFmtId="164" fontId="0" fillId="0" borderId="2" xfId="0" applyNumberFormat="1" applyBorder="1"/>
    <xf numFmtId="0" fontId="8" fillId="0" borderId="2" xfId="3" applyFont="1" applyBorder="1"/>
    <xf numFmtId="2" fontId="3" fillId="2" borderId="1" xfId="0" applyNumberFormat="1" applyFont="1" applyFill="1" applyBorder="1" applyAlignment="1">
      <alignment vertical="center" wrapText="1"/>
    </xf>
    <xf numFmtId="2" fontId="0" fillId="2" borderId="2" xfId="0" applyNumberFormat="1" applyFill="1" applyBorder="1"/>
    <xf numFmtId="0" fontId="4" fillId="2" borderId="19" xfId="0" applyFont="1" applyFill="1" applyBorder="1" applyAlignment="1">
      <alignment horizontal="center" vertical="center" wrapText="1"/>
    </xf>
    <xf numFmtId="2" fontId="3" fillId="2" borderId="4" xfId="0" applyNumberFormat="1" applyFont="1" applyFill="1" applyBorder="1" applyAlignment="1">
      <alignment vertical="center" wrapText="1"/>
    </xf>
    <xf numFmtId="2" fontId="0" fillId="3" borderId="2" xfId="0" applyNumberFormat="1" applyFill="1" applyBorder="1"/>
    <xf numFmtId="0" fontId="4" fillId="3" borderId="4" xfId="0" applyFont="1" applyFill="1" applyBorder="1" applyAlignment="1">
      <alignment horizontal="center" vertical="center" wrapText="1"/>
    </xf>
    <xf numFmtId="2" fontId="3" fillId="3" borderId="4" xfId="0" applyNumberFormat="1" applyFont="1" applyFill="1" applyBorder="1" applyAlignment="1">
      <alignment vertical="center" wrapText="1"/>
    </xf>
    <xf numFmtId="2" fontId="3" fillId="3" borderId="1" xfId="0" applyNumberFormat="1" applyFont="1" applyFill="1" applyBorder="1" applyAlignment="1">
      <alignment vertical="center" wrapText="1"/>
    </xf>
    <xf numFmtId="0" fontId="4" fillId="2" borderId="24" xfId="0" applyFont="1" applyFill="1" applyBorder="1" applyAlignment="1">
      <alignment horizontal="center" vertical="center" wrapText="1"/>
    </xf>
    <xf numFmtId="0" fontId="2" fillId="2" borderId="0" xfId="0" applyFont="1" applyFill="1" applyBorder="1"/>
    <xf numFmtId="2" fontId="0" fillId="3" borderId="0" xfId="0" applyNumberFormat="1" applyFill="1" applyBorder="1"/>
    <xf numFmtId="2" fontId="0" fillId="2" borderId="0" xfId="0" applyNumberFormat="1" applyFill="1" applyBorder="1"/>
    <xf numFmtId="0" fontId="0" fillId="2" borderId="22" xfId="0" applyFill="1" applyBorder="1"/>
    <xf numFmtId="0" fontId="0" fillId="2" borderId="2" xfId="0" applyFill="1" applyBorder="1" applyAlignment="1">
      <alignment horizontal="left"/>
    </xf>
    <xf numFmtId="0" fontId="0" fillId="3" borderId="2" xfId="0" applyFill="1" applyBorder="1" applyAlignment="1">
      <alignment horizontal="left"/>
    </xf>
    <xf numFmtId="0" fontId="0" fillId="2" borderId="27" xfId="0" applyFill="1" applyBorder="1"/>
    <xf numFmtId="0" fontId="2" fillId="3" borderId="2" xfId="0" applyFont="1" applyFill="1" applyBorder="1" applyAlignment="1"/>
    <xf numFmtId="0" fontId="2" fillId="3" borderId="27" xfId="0" applyFont="1" applyFill="1" applyBorder="1"/>
    <xf numFmtId="0" fontId="2" fillId="3" borderId="27" xfId="0" applyFont="1" applyFill="1" applyBorder="1" applyAlignment="1">
      <alignment wrapText="1"/>
    </xf>
    <xf numFmtId="2" fontId="3" fillId="2" borderId="0" xfId="0" applyNumberFormat="1" applyFont="1" applyFill="1" applyBorder="1" applyAlignment="1">
      <alignment vertical="center" wrapText="1"/>
    </xf>
    <xf numFmtId="0" fontId="4" fillId="2" borderId="7"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4" fillId="3" borderId="7" xfId="0" applyFont="1" applyFill="1" applyBorder="1" applyAlignment="1">
      <alignment horizontal="center" vertical="center" wrapText="1"/>
    </xf>
    <xf numFmtId="2" fontId="3" fillId="3" borderId="0" xfId="0" applyNumberFormat="1" applyFont="1" applyFill="1" applyBorder="1" applyAlignment="1">
      <alignment vertical="center" wrapText="1"/>
    </xf>
    <xf numFmtId="0" fontId="0" fillId="3" borderId="0" xfId="0" applyFill="1" applyBorder="1" applyAlignment="1">
      <alignment wrapText="1"/>
    </xf>
    <xf numFmtId="164" fontId="0" fillId="3" borderId="0" xfId="0" applyNumberFormat="1" applyFill="1" applyBorder="1" applyAlignment="1">
      <alignment wrapText="1"/>
    </xf>
    <xf numFmtId="1" fontId="0" fillId="3" borderId="2" xfId="0" applyNumberFormat="1" applyFill="1" applyBorder="1" applyAlignment="1">
      <alignment wrapText="1"/>
    </xf>
    <xf numFmtId="9" fontId="0" fillId="3" borderId="2" xfId="2" applyFont="1" applyFill="1" applyBorder="1" applyAlignment="1">
      <alignment wrapText="1"/>
    </xf>
    <xf numFmtId="1" fontId="0" fillId="3" borderId="2" xfId="0" applyNumberFormat="1" applyFill="1" applyBorder="1"/>
    <xf numFmtId="164" fontId="2" fillId="3" borderId="0" xfId="0" applyNumberFormat="1" applyFont="1" applyFill="1" applyBorder="1"/>
    <xf numFmtId="0" fontId="4" fillId="3" borderId="1" xfId="0" applyFont="1" applyFill="1" applyBorder="1" applyAlignment="1">
      <alignment horizontal="center" vertical="center" wrapText="1"/>
    </xf>
    <xf numFmtId="0" fontId="3" fillId="3" borderId="0" xfId="0" applyFont="1" applyFill="1" applyBorder="1" applyAlignment="1">
      <alignment vertical="center" wrapText="1"/>
    </xf>
    <xf numFmtId="166" fontId="0" fillId="3" borderId="2" xfId="2" applyNumberFormat="1" applyFont="1" applyFill="1" applyBorder="1" applyAlignment="1">
      <alignment wrapText="1"/>
    </xf>
    <xf numFmtId="166" fontId="0" fillId="3" borderId="2" xfId="2" applyNumberFormat="1" applyFont="1" applyFill="1" applyBorder="1"/>
    <xf numFmtId="1" fontId="3" fillId="3" borderId="1" xfId="0" applyNumberFormat="1" applyFont="1" applyFill="1" applyBorder="1" applyAlignment="1">
      <alignment vertical="center" wrapText="1"/>
    </xf>
    <xf numFmtId="0" fontId="0" fillId="2" borderId="0" xfId="0" applyFill="1" applyBorder="1" applyAlignment="1">
      <alignment wrapText="1"/>
    </xf>
    <xf numFmtId="1" fontId="0" fillId="2" borderId="2" xfId="0" applyNumberFormat="1" applyFill="1" applyBorder="1" applyAlignment="1">
      <alignment wrapText="1"/>
    </xf>
    <xf numFmtId="9" fontId="0" fillId="2" borderId="2" xfId="2" applyFont="1" applyFill="1" applyBorder="1" applyAlignment="1">
      <alignment wrapText="1"/>
    </xf>
    <xf numFmtId="166" fontId="0" fillId="2" borderId="2" xfId="2" applyNumberFormat="1" applyFont="1" applyFill="1" applyBorder="1" applyAlignment="1">
      <alignment wrapText="1"/>
    </xf>
    <xf numFmtId="2" fontId="4" fillId="3" borderId="0" xfId="0" applyNumberFormat="1" applyFont="1" applyFill="1" applyBorder="1" applyAlignment="1">
      <alignment vertical="center"/>
    </xf>
    <xf numFmtId="2" fontId="4" fillId="2" borderId="0" xfId="0" applyNumberFormat="1" applyFont="1" applyFill="1" applyBorder="1" applyAlignment="1">
      <alignment vertical="center"/>
    </xf>
    <xf numFmtId="1" fontId="0" fillId="2" borderId="2" xfId="0" applyNumberFormat="1" applyFill="1" applyBorder="1"/>
    <xf numFmtId="164" fontId="2" fillId="2" borderId="0" xfId="0" applyNumberFormat="1" applyFont="1" applyFill="1" applyBorder="1"/>
    <xf numFmtId="164" fontId="0" fillId="2" borderId="0" xfId="0" applyNumberFormat="1" applyFill="1" applyBorder="1" applyAlignment="1">
      <alignment wrapText="1"/>
    </xf>
    <xf numFmtId="1" fontId="3" fillId="2" borderId="1" xfId="0" applyNumberFormat="1" applyFont="1" applyFill="1" applyBorder="1" applyAlignment="1">
      <alignment vertical="center" wrapText="1"/>
    </xf>
    <xf numFmtId="1" fontId="3" fillId="3" borderId="2" xfId="0" applyNumberFormat="1" applyFont="1" applyFill="1" applyBorder="1" applyAlignment="1">
      <alignment vertical="center" wrapText="1"/>
    </xf>
    <xf numFmtId="0" fontId="5" fillId="2" borderId="11" xfId="0" applyFont="1" applyFill="1" applyBorder="1" applyAlignment="1">
      <alignment horizontal="center"/>
    </xf>
    <xf numFmtId="0" fontId="5" fillId="2" borderId="12" xfId="0" applyFont="1" applyFill="1" applyBorder="1" applyAlignment="1">
      <alignment horizontal="center"/>
    </xf>
    <xf numFmtId="0" fontId="5" fillId="2" borderId="20" xfId="0" applyFont="1" applyFill="1" applyBorder="1" applyAlignment="1">
      <alignment horizontal="center"/>
    </xf>
    <xf numFmtId="0" fontId="5" fillId="3" borderId="13" xfId="0" applyFont="1" applyFill="1" applyBorder="1" applyAlignment="1">
      <alignment horizontal="center"/>
    </xf>
    <xf numFmtId="0" fontId="5" fillId="3" borderId="14" xfId="0" applyFont="1" applyFill="1" applyBorder="1" applyAlignment="1">
      <alignment horizontal="center"/>
    </xf>
    <xf numFmtId="0" fontId="5" fillId="2" borderId="13" xfId="0" applyFont="1" applyFill="1" applyBorder="1" applyAlignment="1">
      <alignment horizontal="center"/>
    </xf>
    <xf numFmtId="0" fontId="5" fillId="2" borderId="14" xfId="0" applyFont="1" applyFill="1" applyBorder="1" applyAlignment="1">
      <alignment horizontal="center"/>
    </xf>
    <xf numFmtId="0" fontId="5" fillId="3" borderId="15" xfId="0" applyFont="1" applyFill="1" applyBorder="1" applyAlignment="1">
      <alignment horizontal="center"/>
    </xf>
    <xf numFmtId="0" fontId="2" fillId="2" borderId="2" xfId="0" applyFont="1" applyFill="1" applyBorder="1" applyAlignment="1">
      <alignment horizontal="center"/>
    </xf>
    <xf numFmtId="0" fontId="5" fillId="2" borderId="15" xfId="0" applyFont="1" applyFill="1" applyBorder="1" applyAlignment="1">
      <alignment horizontal="center"/>
    </xf>
    <xf numFmtId="0" fontId="2" fillId="2" borderId="17" xfId="0" applyFont="1" applyFill="1" applyBorder="1" applyAlignment="1">
      <alignment horizontal="center" wrapText="1"/>
    </xf>
    <xf numFmtId="0" fontId="2" fillId="2" borderId="18" xfId="0" applyFont="1" applyFill="1" applyBorder="1" applyAlignment="1">
      <alignment horizontal="center" wrapText="1"/>
    </xf>
    <xf numFmtId="0" fontId="2" fillId="3" borderId="2" xfId="0" applyFont="1" applyFill="1" applyBorder="1" applyAlignment="1">
      <alignment horizontal="center"/>
    </xf>
    <xf numFmtId="0" fontId="2" fillId="3" borderId="2" xfId="0" applyFont="1" applyFill="1" applyBorder="1" applyAlignment="1">
      <alignment horizontal="center" wrapText="1"/>
    </xf>
    <xf numFmtId="0" fontId="2" fillId="2" borderId="5" xfId="0" applyFont="1" applyFill="1" applyBorder="1" applyAlignment="1">
      <alignment horizontal="left"/>
    </xf>
    <xf numFmtId="0" fontId="2" fillId="2" borderId="0" xfId="0" applyFont="1" applyFill="1" applyAlignment="1">
      <alignment horizontal="center"/>
    </xf>
    <xf numFmtId="0" fontId="2" fillId="2" borderId="6" xfId="0" applyFont="1" applyFill="1" applyBorder="1" applyAlignment="1">
      <alignment horizontal="center"/>
    </xf>
    <xf numFmtId="0" fontId="2" fillId="2" borderId="23" xfId="0" applyFont="1" applyFill="1" applyBorder="1" applyAlignment="1">
      <alignment horizontal="center"/>
    </xf>
    <xf numFmtId="0" fontId="2" fillId="2" borderId="22" xfId="0" applyFont="1" applyFill="1" applyBorder="1" applyAlignment="1">
      <alignment horizontal="center"/>
    </xf>
    <xf numFmtId="0" fontId="2" fillId="2" borderId="2" xfId="0" applyFont="1" applyFill="1" applyBorder="1" applyAlignment="1">
      <alignment horizontal="center" wrapText="1"/>
    </xf>
    <xf numFmtId="0" fontId="2" fillId="2" borderId="25" xfId="0" applyFont="1" applyFill="1" applyBorder="1" applyAlignment="1">
      <alignment horizontal="center"/>
    </xf>
    <xf numFmtId="0" fontId="2" fillId="2" borderId="5" xfId="0" applyFont="1" applyFill="1" applyBorder="1" applyAlignment="1">
      <alignment horizontal="center"/>
    </xf>
    <xf numFmtId="0" fontId="2" fillId="2" borderId="26" xfId="0" applyFont="1" applyFill="1" applyBorder="1" applyAlignment="1">
      <alignment horizontal="center"/>
    </xf>
    <xf numFmtId="0" fontId="2" fillId="2" borderId="25" xfId="0" applyFont="1" applyFill="1" applyBorder="1" applyAlignment="1">
      <alignment horizontal="center" wrapText="1"/>
    </xf>
    <xf numFmtId="0" fontId="2" fillId="2" borderId="5" xfId="0" applyFont="1" applyFill="1" applyBorder="1" applyAlignment="1">
      <alignment horizontal="center" wrapText="1"/>
    </xf>
    <xf numFmtId="0" fontId="2" fillId="2" borderId="26" xfId="0" applyFont="1" applyFill="1" applyBorder="1" applyAlignment="1">
      <alignment horizontal="center" wrapText="1"/>
    </xf>
    <xf numFmtId="0" fontId="5" fillId="2" borderId="28" xfId="0" applyFont="1" applyFill="1" applyBorder="1" applyAlignment="1">
      <alignment horizontal="center"/>
    </xf>
    <xf numFmtId="0" fontId="5" fillId="2" borderId="29" xfId="0" applyFont="1" applyFill="1" applyBorder="1" applyAlignment="1">
      <alignment horizontal="center"/>
    </xf>
    <xf numFmtId="0" fontId="5" fillId="2" borderId="30" xfId="0" applyFont="1" applyFill="1" applyBorder="1" applyAlignment="1">
      <alignment horizontal="center"/>
    </xf>
    <xf numFmtId="0" fontId="0" fillId="5" borderId="0" xfId="0" applyFill="1"/>
    <xf numFmtId="0" fontId="2" fillId="5" borderId="2" xfId="0" applyFont="1" applyFill="1" applyBorder="1"/>
    <xf numFmtId="0" fontId="0" fillId="5" borderId="2" xfId="0" applyFill="1" applyBorder="1" applyAlignment="1">
      <alignment vertical="center"/>
    </xf>
    <xf numFmtId="0" fontId="0" fillId="5" borderId="2" xfId="0" applyFill="1" applyBorder="1" applyAlignment="1">
      <alignment vertical="center" wrapText="1"/>
    </xf>
    <xf numFmtId="0" fontId="0" fillId="5" borderId="0" xfId="0" applyFill="1" applyAlignment="1">
      <alignment horizontal="left" wrapText="1"/>
    </xf>
    <xf numFmtId="0" fontId="0" fillId="5" borderId="0" xfId="0" applyFill="1" applyAlignment="1">
      <alignment horizontal="left" wrapText="1"/>
    </xf>
    <xf numFmtId="0" fontId="7" fillId="5" borderId="2" xfId="3" applyFill="1" applyBorder="1" applyAlignment="1">
      <alignment vertical="center"/>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hyperlink" Target="https://data.worldbank.org/indicator/SP.POP.TOTL?locations=I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14"/>
  <sheetViews>
    <sheetView workbookViewId="0"/>
    <sheetView workbookViewId="1">
      <selection activeCell="J11" sqref="J11"/>
    </sheetView>
    <sheetView tabSelected="1" workbookViewId="2">
      <selection activeCell="A2" sqref="A2"/>
    </sheetView>
  </sheetViews>
  <sheetFormatPr defaultRowHeight="15" x14ac:dyDescent="0.25"/>
  <cols>
    <col min="1" max="2" width="9.140625" style="162"/>
    <col min="3" max="3" width="30.85546875" style="162" bestFit="1" customWidth="1"/>
    <col min="4" max="4" width="40.42578125" style="162" customWidth="1"/>
    <col min="5" max="10" width="9.140625" style="162"/>
    <col min="11" max="11" width="9.28515625" style="162" customWidth="1"/>
    <col min="12" max="16384" width="9.140625" style="162"/>
  </cols>
  <sheetData>
    <row r="2" spans="2:13" ht="15" customHeight="1" x14ac:dyDescent="0.25">
      <c r="B2" s="166" t="s">
        <v>169</v>
      </c>
      <c r="C2" s="166"/>
      <c r="D2" s="166"/>
      <c r="E2" s="166"/>
      <c r="F2" s="166"/>
      <c r="G2" s="166"/>
      <c r="H2" s="166"/>
      <c r="I2" s="166"/>
      <c r="J2" s="166"/>
      <c r="K2" s="166"/>
      <c r="L2" s="166"/>
      <c r="M2" s="166"/>
    </row>
    <row r="3" spans="2:13" x14ac:dyDescent="0.25">
      <c r="B3" s="166"/>
      <c r="C3" s="166"/>
      <c r="D3" s="166"/>
      <c r="E3" s="166"/>
      <c r="F3" s="166"/>
      <c r="G3" s="166"/>
      <c r="H3" s="166"/>
      <c r="I3" s="166"/>
      <c r="J3" s="166"/>
      <c r="K3" s="166"/>
      <c r="L3" s="166"/>
      <c r="M3" s="166"/>
    </row>
    <row r="4" spans="2:13" x14ac:dyDescent="0.25">
      <c r="B4" s="166"/>
      <c r="C4" s="166"/>
      <c r="D4" s="166"/>
      <c r="E4" s="166"/>
      <c r="F4" s="166"/>
      <c r="G4" s="166"/>
      <c r="H4" s="166"/>
      <c r="I4" s="166"/>
      <c r="J4" s="166"/>
      <c r="K4" s="166"/>
      <c r="L4" s="166"/>
      <c r="M4" s="166"/>
    </row>
    <row r="5" spans="2:13" x14ac:dyDescent="0.25">
      <c r="B5" s="166"/>
      <c r="C5" s="166"/>
      <c r="D5" s="166"/>
      <c r="E5" s="166"/>
      <c r="F5" s="166"/>
      <c r="G5" s="166"/>
      <c r="H5" s="166"/>
      <c r="I5" s="166"/>
      <c r="J5" s="166"/>
      <c r="K5" s="166"/>
      <c r="L5" s="166"/>
      <c r="M5" s="166"/>
    </row>
    <row r="6" spans="2:13" x14ac:dyDescent="0.25">
      <c r="B6" s="167"/>
      <c r="C6" s="167"/>
      <c r="D6" s="167"/>
      <c r="E6" s="167"/>
      <c r="F6" s="167"/>
      <c r="G6" s="167"/>
      <c r="H6" s="167"/>
      <c r="I6" s="167"/>
      <c r="J6" s="167"/>
      <c r="K6" s="167"/>
    </row>
    <row r="7" spans="2:13" x14ac:dyDescent="0.25">
      <c r="B7" s="163" t="s">
        <v>153</v>
      </c>
      <c r="C7" s="163" t="s">
        <v>154</v>
      </c>
      <c r="D7" s="163" t="s">
        <v>155</v>
      </c>
    </row>
    <row r="8" spans="2:13" ht="30" x14ac:dyDescent="0.25">
      <c r="B8" s="164">
        <v>1</v>
      </c>
      <c r="C8" s="168" t="s">
        <v>142</v>
      </c>
      <c r="D8" s="165" t="s">
        <v>162</v>
      </c>
    </row>
    <row r="9" spans="2:13" ht="30" x14ac:dyDescent="0.25">
      <c r="B9" s="164">
        <v>2</v>
      </c>
      <c r="C9" s="168" t="s">
        <v>156</v>
      </c>
      <c r="D9" s="165" t="s">
        <v>163</v>
      </c>
    </row>
    <row r="10" spans="2:13" ht="45" x14ac:dyDescent="0.25">
      <c r="B10" s="164">
        <v>3</v>
      </c>
      <c r="C10" s="168" t="s">
        <v>157</v>
      </c>
      <c r="D10" s="165" t="s">
        <v>164</v>
      </c>
    </row>
    <row r="11" spans="2:13" ht="30" x14ac:dyDescent="0.25">
      <c r="B11" s="164">
        <v>4</v>
      </c>
      <c r="C11" s="168" t="s">
        <v>158</v>
      </c>
      <c r="D11" s="165" t="s">
        <v>165</v>
      </c>
    </row>
    <row r="12" spans="2:13" ht="30" x14ac:dyDescent="0.25">
      <c r="B12" s="164">
        <v>5</v>
      </c>
      <c r="C12" s="168" t="s">
        <v>159</v>
      </c>
      <c r="D12" s="165" t="s">
        <v>166</v>
      </c>
    </row>
    <row r="13" spans="2:13" ht="30" x14ac:dyDescent="0.25">
      <c r="B13" s="164">
        <v>6</v>
      </c>
      <c r="C13" s="168" t="s">
        <v>160</v>
      </c>
      <c r="D13" s="165" t="s">
        <v>168</v>
      </c>
    </row>
    <row r="14" spans="2:13" ht="30" x14ac:dyDescent="0.25">
      <c r="B14" s="164">
        <v>7</v>
      </c>
      <c r="C14" s="168" t="s">
        <v>161</v>
      </c>
      <c r="D14" s="165" t="s">
        <v>167</v>
      </c>
    </row>
  </sheetData>
  <mergeCells count="1">
    <mergeCell ref="B2:M5"/>
  </mergeCells>
  <hyperlinks>
    <hyperlink ref="C8" location="'Primary cooking source'!A1" display="Primary cooking source"/>
    <hyperlink ref="C9" location="'LPG subsidy'!A1" display="LPG subsidy"/>
    <hyperlink ref="C10" location="'Subsidized cylinder count'!A1" display="Subsidized cylinder count"/>
    <hyperlink ref="C11" location="'Average consumption - PC 30 day'!A1" display="Average consumption - PC 30 day"/>
    <hyperlink ref="C12" location="'Average cylinders - HH 1 yr'!A1" display="Average cylinders - HH 1 yr"/>
    <hyperlink ref="C13" location="'PPAC vs HCES lpg consumption'!A1" display="PPAC vs HCES LPG consumption"/>
    <hyperlink ref="C14" location="'Share LPG and firewood exp'!A1" display="Share LPG and firewood exp"/>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5"/>
  <sheetViews>
    <sheetView zoomScale="109" workbookViewId="0">
      <selection activeCell="F9" sqref="F9"/>
    </sheetView>
    <sheetView workbookViewId="1">
      <selection sqref="A1:M1"/>
    </sheetView>
    <sheetView workbookViewId="2">
      <selection sqref="A1:M1"/>
    </sheetView>
  </sheetViews>
  <sheetFormatPr defaultColWidth="0" defaultRowHeight="15" x14ac:dyDescent="0.25"/>
  <cols>
    <col min="1" max="1" width="14.85546875" style="13" customWidth="1"/>
    <col min="2" max="2" width="15.42578125" style="8" customWidth="1"/>
    <col min="3" max="3" width="10.85546875" style="8" customWidth="1"/>
    <col min="4" max="4" width="10.7109375" style="8" customWidth="1"/>
    <col min="5" max="8" width="8.85546875" style="8" bestFit="1" customWidth="1"/>
    <col min="9" max="9" width="10.42578125" style="8" bestFit="1" customWidth="1"/>
    <col min="10" max="12" width="8.85546875" style="8" bestFit="1" customWidth="1"/>
    <col min="13" max="13" width="8.7109375" style="14" customWidth="1"/>
    <col min="14" max="15" width="8.7109375" style="36" customWidth="1"/>
    <col min="16" max="16" width="15.42578125" style="36" customWidth="1"/>
    <col min="17" max="17" width="13.85546875" style="36" customWidth="1"/>
    <col min="18" max="28" width="8.7109375" style="36" customWidth="1"/>
    <col min="29" max="16384" width="8.7109375" style="36" hidden="1"/>
  </cols>
  <sheetData>
    <row r="1" spans="1:28" ht="30.95" customHeight="1" thickBot="1" x14ac:dyDescent="0.5">
      <c r="A1" s="133" t="s">
        <v>49</v>
      </c>
      <c r="B1" s="134"/>
      <c r="C1" s="134"/>
      <c r="D1" s="134"/>
      <c r="E1" s="134"/>
      <c r="F1" s="134"/>
      <c r="G1" s="134"/>
      <c r="H1" s="134"/>
      <c r="I1" s="134"/>
      <c r="J1" s="134"/>
      <c r="K1" s="134"/>
      <c r="L1" s="134"/>
      <c r="M1" s="135"/>
      <c r="N1" s="136" t="s">
        <v>50</v>
      </c>
      <c r="O1" s="137"/>
      <c r="P1" s="137"/>
      <c r="Q1" s="137"/>
      <c r="R1" s="137"/>
      <c r="S1" s="137"/>
      <c r="T1" s="137"/>
      <c r="U1" s="137"/>
      <c r="V1" s="137"/>
      <c r="W1" s="137"/>
      <c r="X1" s="137"/>
      <c r="Y1" s="137"/>
      <c r="Z1" s="137"/>
      <c r="AA1" s="50"/>
      <c r="AB1" s="51"/>
    </row>
    <row r="4" spans="1:28" x14ac:dyDescent="0.25">
      <c r="A4" s="15" t="s">
        <v>13</v>
      </c>
      <c r="P4" s="41" t="s">
        <v>13</v>
      </c>
    </row>
    <row r="5" spans="1:28" x14ac:dyDescent="0.25">
      <c r="A5" s="16" t="s">
        <v>30</v>
      </c>
      <c r="B5" s="3" t="s">
        <v>17</v>
      </c>
      <c r="C5" s="4"/>
      <c r="P5" s="44" t="s">
        <v>30</v>
      </c>
      <c r="Q5" s="48" t="s">
        <v>17</v>
      </c>
    </row>
    <row r="6" spans="1:28" x14ac:dyDescent="0.25">
      <c r="A6" s="17" t="s">
        <v>1</v>
      </c>
      <c r="B6" s="74">
        <v>0.56005769202671529</v>
      </c>
      <c r="C6" s="75"/>
      <c r="P6" s="49" t="s">
        <v>1</v>
      </c>
      <c r="Q6" s="39">
        <v>0.6008996581078051</v>
      </c>
      <c r="X6" s="40"/>
    </row>
    <row r="7" spans="1:28" x14ac:dyDescent="0.25">
      <c r="A7" s="17" t="s">
        <v>2</v>
      </c>
      <c r="B7" s="74">
        <v>9.6351625561740998E-5</v>
      </c>
      <c r="C7" s="7"/>
      <c r="P7" s="38" t="s">
        <v>2</v>
      </c>
      <c r="Q7" s="39">
        <v>9.0031209791409904E-5</v>
      </c>
      <c r="X7" s="40"/>
    </row>
    <row r="8" spans="1:28" x14ac:dyDescent="0.25">
      <c r="A8" s="17" t="s">
        <v>3</v>
      </c>
      <c r="B8" s="74">
        <v>3.5797347353631421E-3</v>
      </c>
      <c r="C8" s="7"/>
      <c r="P8" s="38" t="s">
        <v>3</v>
      </c>
      <c r="Q8" s="39">
        <v>3.0328177086345279E-3</v>
      </c>
      <c r="X8" s="40"/>
    </row>
    <row r="9" spans="1:28" x14ac:dyDescent="0.25">
      <c r="A9" s="17" t="s">
        <v>4</v>
      </c>
      <c r="B9" s="74">
        <v>2.4449321057500872E-2</v>
      </c>
      <c r="C9" s="7"/>
      <c r="P9" s="38" t="s">
        <v>4</v>
      </c>
      <c r="Q9" s="39">
        <v>1.4928596287628111E-2</v>
      </c>
      <c r="X9" s="40"/>
    </row>
    <row r="10" spans="1:28" x14ac:dyDescent="0.25">
      <c r="A10" s="17" t="s">
        <v>5</v>
      </c>
      <c r="B10" s="74">
        <v>1.2630927097716696E-3</v>
      </c>
      <c r="C10" s="7"/>
      <c r="P10" s="38" t="s">
        <v>5</v>
      </c>
      <c r="Q10" s="39">
        <v>1.0274710204695738E-3</v>
      </c>
      <c r="X10" s="40"/>
    </row>
    <row r="11" spans="1:28" ht="25.5" x14ac:dyDescent="0.25">
      <c r="A11" s="17" t="s">
        <v>6</v>
      </c>
      <c r="B11" s="74">
        <v>0.37446453239204947</v>
      </c>
      <c r="C11" s="7"/>
      <c r="P11" s="38" t="s">
        <v>6</v>
      </c>
      <c r="Q11" s="39">
        <v>0.32595066244069837</v>
      </c>
      <c r="X11" s="40"/>
    </row>
    <row r="12" spans="1:28" x14ac:dyDescent="0.25">
      <c r="A12" s="17" t="s">
        <v>7</v>
      </c>
      <c r="B12" s="74">
        <v>4.8015467304536748E-4</v>
      </c>
      <c r="C12" s="7"/>
      <c r="P12" s="38" t="s">
        <v>7</v>
      </c>
      <c r="Q12" s="39">
        <v>5.1223923572167097E-4</v>
      </c>
      <c r="X12" s="40"/>
    </row>
    <row r="13" spans="1:28" x14ac:dyDescent="0.25">
      <c r="A13" s="17" t="s">
        <v>8</v>
      </c>
      <c r="B13" s="74">
        <v>6.8776162866719323E-4</v>
      </c>
      <c r="C13" s="7"/>
      <c r="P13" s="38" t="s">
        <v>8</v>
      </c>
      <c r="Q13" s="39">
        <v>3.6576855952397613E-4</v>
      </c>
      <c r="X13" s="40"/>
    </row>
    <row r="14" spans="1:28" ht="25.5" x14ac:dyDescent="0.25">
      <c r="A14" s="17" t="s">
        <v>9</v>
      </c>
      <c r="B14" s="74">
        <v>2.2097620433387668E-2</v>
      </c>
      <c r="C14" s="7"/>
      <c r="P14" s="38" t="s">
        <v>9</v>
      </c>
      <c r="Q14" s="39">
        <v>3.0079846293542951E-2</v>
      </c>
      <c r="X14" s="40"/>
    </row>
    <row r="15" spans="1:28" x14ac:dyDescent="0.25">
      <c r="A15" s="17" t="s">
        <v>10</v>
      </c>
      <c r="B15" s="74">
        <v>7.5089693036336366E-5</v>
      </c>
      <c r="C15" s="7"/>
      <c r="P15" s="38" t="s">
        <v>10</v>
      </c>
      <c r="Q15" s="39">
        <v>3.1393479488936582E-5</v>
      </c>
      <c r="X15" s="40"/>
    </row>
    <row r="16" spans="1:28" x14ac:dyDescent="0.25">
      <c r="A16" s="17" t="s">
        <v>11</v>
      </c>
      <c r="B16" s="73">
        <v>9.4086627388600477E-3</v>
      </c>
      <c r="C16" s="77"/>
      <c r="P16" s="38" t="s">
        <v>11</v>
      </c>
      <c r="Q16" s="76">
        <v>1.2913894026671662E-2</v>
      </c>
      <c r="X16" s="40"/>
    </row>
    <row r="17" spans="1:24" x14ac:dyDescent="0.25">
      <c r="A17" s="17" t="s">
        <v>12</v>
      </c>
      <c r="B17" s="74">
        <v>3.3399862860412142E-3</v>
      </c>
      <c r="C17" s="7"/>
      <c r="P17" s="38" t="s">
        <v>12</v>
      </c>
      <c r="Q17" s="39">
        <v>1.0167621630023747E-2</v>
      </c>
      <c r="X17" s="40"/>
    </row>
    <row r="20" spans="1:24" x14ac:dyDescent="0.25">
      <c r="A20" s="15" t="s">
        <v>18</v>
      </c>
      <c r="P20" s="41" t="s">
        <v>18</v>
      </c>
      <c r="Q20" s="42"/>
      <c r="R20" s="42"/>
    </row>
    <row r="21" spans="1:24" x14ac:dyDescent="0.25">
      <c r="A21" s="16" t="s">
        <v>30</v>
      </c>
      <c r="B21" s="3" t="s">
        <v>14</v>
      </c>
      <c r="C21" s="3" t="s">
        <v>15</v>
      </c>
      <c r="D21" s="4"/>
      <c r="E21" s="4"/>
      <c r="G21" s="4"/>
      <c r="H21" s="4"/>
      <c r="I21" s="4"/>
      <c r="J21" s="4"/>
      <c r="P21" s="43" t="s">
        <v>30</v>
      </c>
      <c r="Q21" s="44" t="s">
        <v>14</v>
      </c>
      <c r="R21" s="44" t="s">
        <v>15</v>
      </c>
    </row>
    <row r="22" spans="1:24" x14ac:dyDescent="0.25">
      <c r="A22" s="18" t="s">
        <v>1</v>
      </c>
      <c r="B22" s="10">
        <v>0.42928216551469578</v>
      </c>
      <c r="C22" s="10">
        <v>0.84482520542009054</v>
      </c>
      <c r="D22" s="7"/>
      <c r="E22" s="11"/>
      <c r="G22" s="7"/>
      <c r="H22" s="7"/>
      <c r="I22" s="7"/>
      <c r="J22" s="11"/>
      <c r="P22" s="45" t="s">
        <v>1</v>
      </c>
      <c r="Q22" s="46">
        <v>0.48160847013312086</v>
      </c>
      <c r="R22" s="46">
        <v>0.83705611874626162</v>
      </c>
    </row>
    <row r="23" spans="1:24" x14ac:dyDescent="0.25">
      <c r="A23" s="18" t="s">
        <v>2</v>
      </c>
      <c r="B23" s="10">
        <v>5.4394816494416357E-5</v>
      </c>
      <c r="C23" s="10">
        <v>1.8771379787862729E-4</v>
      </c>
      <c r="D23" s="7"/>
      <c r="E23" s="11"/>
      <c r="G23" s="7"/>
      <c r="H23" s="7"/>
      <c r="I23" s="7"/>
      <c r="J23" s="11"/>
      <c r="P23" s="45" t="s">
        <v>2</v>
      </c>
      <c r="Q23" s="46">
        <v>4.1710753017637576E-5</v>
      </c>
      <c r="R23" s="46">
        <v>1.8568948013527524E-4</v>
      </c>
    </row>
    <row r="24" spans="1:24" x14ac:dyDescent="0.25">
      <c r="A24" s="18" t="s">
        <v>3</v>
      </c>
      <c r="B24" s="10">
        <v>2.8226364758720175E-3</v>
      </c>
      <c r="C24" s="10">
        <v>5.2283382202814354E-3</v>
      </c>
      <c r="D24" s="7"/>
      <c r="E24" s="11"/>
      <c r="G24" s="7"/>
      <c r="H24" s="7"/>
      <c r="I24" s="7"/>
      <c r="J24" s="11"/>
      <c r="P24" s="45" t="s">
        <v>3</v>
      </c>
      <c r="Q24" s="46">
        <v>2.6587508170326422E-3</v>
      </c>
      <c r="R24" s="46">
        <v>3.7733444560950169E-3</v>
      </c>
    </row>
    <row r="25" spans="1:24" x14ac:dyDescent="0.25">
      <c r="A25" s="18" t="s">
        <v>4</v>
      </c>
      <c r="B25" s="10">
        <v>3.4553290863731906E-2</v>
      </c>
      <c r="C25" s="10">
        <v>2.4476328681001846E-3</v>
      </c>
      <c r="D25" s="7"/>
      <c r="E25" s="11"/>
      <c r="G25" s="7"/>
      <c r="H25" s="7"/>
      <c r="I25" s="7"/>
      <c r="J25" s="11"/>
      <c r="P25" s="45" t="s">
        <v>4</v>
      </c>
      <c r="Q25" s="46">
        <v>2.1655337474976253E-2</v>
      </c>
      <c r="R25" s="46">
        <v>1.6119084176994987E-3</v>
      </c>
    </row>
    <row r="26" spans="1:24" x14ac:dyDescent="0.25">
      <c r="A26" s="18" t="s">
        <v>5</v>
      </c>
      <c r="B26" s="10">
        <v>4.7670281484929911E-4</v>
      </c>
      <c r="C26" s="10">
        <v>2.9754795829695308E-3</v>
      </c>
      <c r="D26" s="7"/>
      <c r="E26" s="11"/>
      <c r="G26" s="7"/>
      <c r="H26" s="7"/>
      <c r="I26" s="7"/>
      <c r="J26" s="11"/>
      <c r="P26" s="45" t="s">
        <v>5</v>
      </c>
      <c r="Q26" s="46">
        <v>7.1405860313534977E-4</v>
      </c>
      <c r="R26" s="46">
        <v>1.6479223061002025E-3</v>
      </c>
    </row>
    <row r="27" spans="1:24" x14ac:dyDescent="0.25">
      <c r="A27" s="18" t="s">
        <v>6</v>
      </c>
      <c r="B27" s="10">
        <v>0.51664757976673081</v>
      </c>
      <c r="C27" s="10">
        <v>6.4856810462066164E-2</v>
      </c>
      <c r="D27" s="7"/>
      <c r="E27" s="11"/>
      <c r="G27" s="7"/>
      <c r="H27" s="7"/>
      <c r="I27" s="7"/>
      <c r="J27" s="11"/>
      <c r="P27" s="45" t="s">
        <v>6</v>
      </c>
      <c r="Q27" s="46">
        <v>0.46675702555190524</v>
      </c>
      <c r="R27" s="46">
        <v>4.7201383753768845E-2</v>
      </c>
    </row>
    <row r="28" spans="1:24" x14ac:dyDescent="0.25">
      <c r="A28" s="18" t="s">
        <v>7</v>
      </c>
      <c r="B28" s="10">
        <v>6.8795807346695226E-4</v>
      </c>
      <c r="C28" s="10">
        <v>2.765672338271579E-5</v>
      </c>
      <c r="D28" s="7"/>
      <c r="E28" s="11"/>
      <c r="G28" s="7"/>
      <c r="H28" s="7"/>
      <c r="I28" s="7"/>
      <c r="J28" s="11"/>
      <c r="P28" s="45" t="s">
        <v>7</v>
      </c>
      <c r="Q28" s="46">
        <v>7.490732870577085E-4</v>
      </c>
      <c r="R28" s="46">
        <v>4.3387372708699213E-5</v>
      </c>
    </row>
    <row r="29" spans="1:24" x14ac:dyDescent="0.25">
      <c r="A29" s="18" t="s">
        <v>8</v>
      </c>
      <c r="B29" s="10">
        <v>1.7488482771922412E-4</v>
      </c>
      <c r="C29" s="10">
        <v>1.8045657829190884E-3</v>
      </c>
      <c r="D29" s="7"/>
      <c r="E29" s="11"/>
      <c r="G29" s="7"/>
      <c r="H29" s="7"/>
      <c r="I29" s="7"/>
      <c r="J29" s="11"/>
      <c r="P29" s="45" t="s">
        <v>8</v>
      </c>
      <c r="Q29" s="46">
        <v>5.4162616737945945E-5</v>
      </c>
      <c r="R29" s="46">
        <v>9.8264363919007484E-4</v>
      </c>
    </row>
    <row r="30" spans="1:24" x14ac:dyDescent="0.25">
      <c r="A30" s="18" t="s">
        <v>9</v>
      </c>
      <c r="B30" s="10">
        <v>1.0853527758717134E-2</v>
      </c>
      <c r="C30" s="10">
        <v>4.6581959336326847E-2</v>
      </c>
      <c r="D30" s="7"/>
      <c r="E30" s="11"/>
      <c r="G30" s="7"/>
      <c r="H30" s="7"/>
      <c r="I30" s="7"/>
      <c r="J30" s="11"/>
      <c r="P30" s="45" t="s">
        <v>9</v>
      </c>
      <c r="Q30" s="46">
        <v>1.0879415079506918E-2</v>
      </c>
      <c r="R30" s="46">
        <v>6.8090249448486351E-2</v>
      </c>
    </row>
    <row r="31" spans="1:24" x14ac:dyDescent="0.25">
      <c r="A31" s="18" t="s">
        <v>10</v>
      </c>
      <c r="B31" s="10">
        <v>8.4916366668942182E-5</v>
      </c>
      <c r="C31" s="10">
        <v>5.36918253318755E-5</v>
      </c>
      <c r="D31" s="7"/>
      <c r="E31" s="11"/>
      <c r="G31" s="7"/>
      <c r="H31" s="7"/>
      <c r="I31" s="7"/>
      <c r="J31" s="11"/>
      <c r="P31" s="45" t="s">
        <v>10</v>
      </c>
      <c r="Q31" s="46">
        <v>3.6032312622941359E-5</v>
      </c>
      <c r="R31" s="46">
        <v>2.221014796842432E-5</v>
      </c>
    </row>
    <row r="32" spans="1:24" x14ac:dyDescent="0.25">
      <c r="A32" s="18" t="s">
        <v>11</v>
      </c>
      <c r="B32" s="10">
        <v>1.2424973550114492E-3</v>
      </c>
      <c r="C32" s="10">
        <v>2.719072542551948E-2</v>
      </c>
      <c r="D32" s="7"/>
      <c r="E32" s="11"/>
      <c r="G32" s="7"/>
      <c r="H32" s="7"/>
      <c r="I32" s="7"/>
      <c r="J32" s="11"/>
      <c r="P32" s="45" t="s">
        <v>11</v>
      </c>
      <c r="Q32" s="46">
        <v>1.0600329582709906E-3</v>
      </c>
      <c r="R32" s="46">
        <v>3.6380556532290831E-2</v>
      </c>
    </row>
    <row r="33" spans="1:26" x14ac:dyDescent="0.25">
      <c r="A33" s="18" t="s">
        <v>12</v>
      </c>
      <c r="B33" s="10">
        <v>3.1194453660420333E-3</v>
      </c>
      <c r="C33" s="10">
        <v>3.8202205551334661E-3</v>
      </c>
      <c r="D33" s="7"/>
      <c r="E33" s="11"/>
      <c r="G33" s="7"/>
      <c r="H33" s="7"/>
      <c r="I33" s="7"/>
      <c r="J33" s="11"/>
      <c r="P33" s="45" t="s">
        <v>12</v>
      </c>
      <c r="Q33" s="46">
        <v>1.3785930412615546E-2</v>
      </c>
      <c r="R33" s="46">
        <v>3.0045856992951432E-3</v>
      </c>
    </row>
    <row r="36" spans="1:26" x14ac:dyDescent="0.25">
      <c r="A36" s="15" t="s">
        <v>19</v>
      </c>
      <c r="P36" s="47" t="s">
        <v>19</v>
      </c>
    </row>
    <row r="37" spans="1:26" x14ac:dyDescent="0.25">
      <c r="A37" s="16" t="s">
        <v>30</v>
      </c>
      <c r="B37" s="3">
        <v>1</v>
      </c>
      <c r="C37" s="3">
        <v>2</v>
      </c>
      <c r="D37" s="3">
        <v>3</v>
      </c>
      <c r="E37" s="3">
        <v>4</v>
      </c>
      <c r="F37" s="3">
        <v>5</v>
      </c>
      <c r="G37" s="3">
        <v>6</v>
      </c>
      <c r="H37" s="3">
        <v>7</v>
      </c>
      <c r="I37" s="3">
        <v>8</v>
      </c>
      <c r="J37" s="3">
        <v>9</v>
      </c>
      <c r="K37" s="3">
        <v>10</v>
      </c>
      <c r="P37" s="43" t="s">
        <v>30</v>
      </c>
      <c r="Q37" s="43">
        <v>1</v>
      </c>
      <c r="R37" s="43">
        <v>2</v>
      </c>
      <c r="S37" s="43">
        <v>3</v>
      </c>
      <c r="T37" s="43">
        <v>4</v>
      </c>
      <c r="U37" s="43">
        <v>5</v>
      </c>
      <c r="V37" s="43">
        <v>6</v>
      </c>
      <c r="W37" s="43">
        <v>7</v>
      </c>
      <c r="X37" s="43">
        <v>8</v>
      </c>
      <c r="Y37" s="43">
        <v>9</v>
      </c>
      <c r="Z37" s="43">
        <v>10</v>
      </c>
    </row>
    <row r="38" spans="1:26" x14ac:dyDescent="0.25">
      <c r="A38" s="19" t="s">
        <v>1</v>
      </c>
      <c r="B38" s="12">
        <v>0.11833920041918704</v>
      </c>
      <c r="C38" s="12">
        <v>0.19342210020697348</v>
      </c>
      <c r="D38" s="12">
        <v>0.25317801844048166</v>
      </c>
      <c r="E38" s="12">
        <v>0.2951656870534502</v>
      </c>
      <c r="F38" s="12">
        <v>0.36166777137101414</v>
      </c>
      <c r="G38" s="12">
        <v>0.41167752749914499</v>
      </c>
      <c r="H38" s="12">
        <v>0.47392619054266477</v>
      </c>
      <c r="I38" s="12">
        <v>0.531845104059116</v>
      </c>
      <c r="J38" s="12">
        <v>0.62239881315563961</v>
      </c>
      <c r="K38" s="12">
        <v>0.70321007704365657</v>
      </c>
      <c r="P38" s="45" t="s">
        <v>1</v>
      </c>
      <c r="Q38" s="46">
        <v>0.1449395082809864</v>
      </c>
      <c r="R38" s="46">
        <v>0.24298811956559518</v>
      </c>
      <c r="S38" s="46">
        <v>0.30686550947785868</v>
      </c>
      <c r="T38" s="46">
        <v>0.35708169224656011</v>
      </c>
      <c r="U38" s="46">
        <v>0.39640880203230083</v>
      </c>
      <c r="V38" s="46">
        <v>0.46397391842350921</v>
      </c>
      <c r="W38" s="46">
        <v>0.53159101812895493</v>
      </c>
      <c r="X38" s="46">
        <v>0.59877423587835032</v>
      </c>
      <c r="Y38" s="46">
        <v>0.68237901645205146</v>
      </c>
      <c r="Z38" s="46">
        <v>0.75907752972056086</v>
      </c>
    </row>
    <row r="39" spans="1:26" x14ac:dyDescent="0.25">
      <c r="A39" s="19" t="s">
        <v>2</v>
      </c>
      <c r="B39" s="12">
        <v>0</v>
      </c>
      <c r="C39" s="12">
        <v>1.6809519902381594E-5</v>
      </c>
      <c r="D39" s="12">
        <v>6.9324027282475774E-5</v>
      </c>
      <c r="E39" s="12">
        <v>0</v>
      </c>
      <c r="F39" s="12">
        <v>2.2086175483485502E-5</v>
      </c>
      <c r="G39" s="12">
        <v>2.9915162108248141E-5</v>
      </c>
      <c r="H39" s="12">
        <v>1.2033598369460305E-4</v>
      </c>
      <c r="I39" s="12">
        <v>8.2770724756405534E-5</v>
      </c>
      <c r="J39" s="12">
        <v>1.5466012641536666E-4</v>
      </c>
      <c r="K39" s="12">
        <v>1.4836240327318847E-5</v>
      </c>
      <c r="P39" s="45" t="s">
        <v>2</v>
      </c>
      <c r="Q39" s="46">
        <v>0</v>
      </c>
      <c r="R39" s="46">
        <v>0</v>
      </c>
      <c r="S39" s="46">
        <v>0</v>
      </c>
      <c r="T39" s="46">
        <v>0</v>
      </c>
      <c r="U39" s="46">
        <v>0</v>
      </c>
      <c r="V39" s="46">
        <v>6.8470081169052586E-5</v>
      </c>
      <c r="W39" s="46">
        <v>4.4972702790997899E-5</v>
      </c>
      <c r="X39" s="46">
        <v>1.6053319197059857E-4</v>
      </c>
      <c r="Y39" s="46">
        <v>5.2918075376897585E-5</v>
      </c>
      <c r="Z39" s="46">
        <v>4.4443758563725981E-5</v>
      </c>
    </row>
    <row r="40" spans="1:26" x14ac:dyDescent="0.25">
      <c r="A40" s="19" t="s">
        <v>3</v>
      </c>
      <c r="B40" s="12">
        <v>3.3689680874598202E-3</v>
      </c>
      <c r="C40" s="12">
        <v>3.8692146242105896E-3</v>
      </c>
      <c r="D40" s="12">
        <v>2.8996609718777012E-3</v>
      </c>
      <c r="E40" s="12">
        <v>3.325687492470229E-3</v>
      </c>
      <c r="F40" s="12">
        <v>3.6895901125805104E-3</v>
      </c>
      <c r="G40" s="12">
        <v>4.117360502780441E-3</v>
      </c>
      <c r="H40" s="12">
        <v>2.8286599519164266E-3</v>
      </c>
      <c r="I40" s="12">
        <v>2.2184490522298805E-3</v>
      </c>
      <c r="J40" s="12">
        <v>2.59748129414554E-3</v>
      </c>
      <c r="K40" s="12">
        <v>7.5762870110499382E-4</v>
      </c>
      <c r="P40" s="45" t="s">
        <v>3</v>
      </c>
      <c r="Q40" s="46">
        <v>5.9852533667988841E-3</v>
      </c>
      <c r="R40" s="46">
        <v>5.823596079614639E-3</v>
      </c>
      <c r="S40" s="46">
        <v>4.3251224709587397E-3</v>
      </c>
      <c r="T40" s="46">
        <v>4.1069706887018678E-3</v>
      </c>
      <c r="U40" s="46">
        <v>2.7234422138237503E-3</v>
      </c>
      <c r="V40" s="46">
        <v>2.2400013154767495E-3</v>
      </c>
      <c r="W40" s="46">
        <v>2.1139600626550199E-3</v>
      </c>
      <c r="X40" s="46">
        <v>9.2169823494491886E-4</v>
      </c>
      <c r="Y40" s="46">
        <v>7.5000770852998665E-4</v>
      </c>
      <c r="Z40" s="46">
        <v>6.9980533615526959E-4</v>
      </c>
    </row>
    <row r="41" spans="1:26" x14ac:dyDescent="0.25">
      <c r="A41" s="19" t="s">
        <v>4</v>
      </c>
      <c r="B41" s="12">
        <v>7.5617295046067012E-2</v>
      </c>
      <c r="C41" s="12">
        <v>5.444269218658445E-2</v>
      </c>
      <c r="D41" s="12">
        <v>5.1145277321076849E-2</v>
      </c>
      <c r="E41" s="12">
        <v>3.76735943473284E-2</v>
      </c>
      <c r="F41" s="12">
        <v>3.611894573318121E-2</v>
      </c>
      <c r="G41" s="12">
        <v>3.0483580825784493E-2</v>
      </c>
      <c r="H41" s="12">
        <v>2.9215487840505042E-2</v>
      </c>
      <c r="I41" s="12">
        <v>2.6843216081259339E-2</v>
      </c>
      <c r="J41" s="12">
        <v>2.0810459088758906E-2</v>
      </c>
      <c r="K41" s="12">
        <v>1.2566468322774171E-2</v>
      </c>
      <c r="P41" s="45" t="s">
        <v>4</v>
      </c>
      <c r="Q41" s="46">
        <v>5.9486393231997989E-2</v>
      </c>
      <c r="R41" s="46">
        <v>4.0275242162533434E-2</v>
      </c>
      <c r="S41" s="46">
        <v>2.9921963391620305E-2</v>
      </c>
      <c r="T41" s="46">
        <v>2.6065220867765502E-2</v>
      </c>
      <c r="U41" s="46">
        <v>2.0500756471816518E-2</v>
      </c>
      <c r="V41" s="46">
        <v>2.0190385978746308E-2</v>
      </c>
      <c r="W41" s="46">
        <v>1.7990387843694951E-2</v>
      </c>
      <c r="X41" s="46">
        <v>1.2796285095836905E-2</v>
      </c>
      <c r="Y41" s="46">
        <v>8.3500986528913176E-3</v>
      </c>
      <c r="Z41" s="46">
        <v>4.9390700578847068E-3</v>
      </c>
    </row>
    <row r="42" spans="1:26" x14ac:dyDescent="0.25">
      <c r="A42" s="19" t="s">
        <v>5</v>
      </c>
      <c r="B42" s="12">
        <v>8.4233010111570765E-5</v>
      </c>
      <c r="C42" s="12">
        <v>2.7628151323328619E-4</v>
      </c>
      <c r="D42" s="12">
        <v>3.3185640952434933E-4</v>
      </c>
      <c r="E42" s="12">
        <v>3.1360196926983084E-4</v>
      </c>
      <c r="F42" s="12">
        <v>4.6296634487043059E-4</v>
      </c>
      <c r="G42" s="12">
        <v>3.4454130680380726E-4</v>
      </c>
      <c r="H42" s="12">
        <v>6.7911384040838358E-4</v>
      </c>
      <c r="I42" s="12">
        <v>2.2826148008825859E-4</v>
      </c>
      <c r="J42" s="12">
        <v>5.6017203467255449E-4</v>
      </c>
      <c r="K42" s="12">
        <v>1.0661411561404463E-3</v>
      </c>
      <c r="P42" s="45" t="s">
        <v>5</v>
      </c>
      <c r="Q42" s="46">
        <v>1.3888541982385048E-5</v>
      </c>
      <c r="R42" s="46">
        <v>2.0600379033390849E-4</v>
      </c>
      <c r="S42" s="46">
        <v>3.5408246462577511E-4</v>
      </c>
      <c r="T42" s="46">
        <v>2.8947986037997428E-4</v>
      </c>
      <c r="U42" s="46">
        <v>1.7674883643130083E-4</v>
      </c>
      <c r="V42" s="46">
        <v>2.875129407804187E-4</v>
      </c>
      <c r="W42" s="46">
        <v>2.9856194349265599E-4</v>
      </c>
      <c r="X42" s="46">
        <v>2.9172831194480001E-4</v>
      </c>
      <c r="Y42" s="46">
        <v>3.7306591440277123E-4</v>
      </c>
      <c r="Z42" s="46">
        <v>3.4460013954975745E-3</v>
      </c>
    </row>
    <row r="43" spans="1:26" ht="25.5" x14ac:dyDescent="0.25">
      <c r="A43" s="19" t="s">
        <v>6</v>
      </c>
      <c r="B43" s="12">
        <v>0.78514252210007529</v>
      </c>
      <c r="C43" s="12">
        <v>0.73868141324064562</v>
      </c>
      <c r="D43" s="12">
        <v>0.68470996017081942</v>
      </c>
      <c r="E43" s="12">
        <v>0.65502879740668107</v>
      </c>
      <c r="F43" s="12">
        <v>0.58642257174961121</v>
      </c>
      <c r="G43" s="12">
        <v>0.54435583331801551</v>
      </c>
      <c r="H43" s="12">
        <v>0.48281717962392123</v>
      </c>
      <c r="I43" s="12">
        <v>0.42671438835224662</v>
      </c>
      <c r="J43" s="12">
        <v>0.34510339643165056</v>
      </c>
      <c r="K43" s="12">
        <v>0.23124098187527029</v>
      </c>
      <c r="P43" s="45" t="s">
        <v>6</v>
      </c>
      <c r="Q43" s="46">
        <v>0.71953078933351711</v>
      </c>
      <c r="R43" s="46">
        <v>0.68797776078670902</v>
      </c>
      <c r="S43" s="46">
        <v>0.63869569115216962</v>
      </c>
      <c r="T43" s="46">
        <v>0.59224529739128606</v>
      </c>
      <c r="U43" s="46">
        <v>0.55733344903996873</v>
      </c>
      <c r="V43" s="46">
        <v>0.49265864277542065</v>
      </c>
      <c r="W43" s="46">
        <v>0.42835253315256122</v>
      </c>
      <c r="X43" s="46">
        <v>0.36615562052543421</v>
      </c>
      <c r="Y43" s="46">
        <v>0.28475112088238885</v>
      </c>
      <c r="Z43" s="46">
        <v>0.20008977347675902</v>
      </c>
    </row>
    <row r="44" spans="1:26" x14ac:dyDescent="0.25">
      <c r="A44" s="19" t="s">
        <v>7</v>
      </c>
      <c r="B44" s="12">
        <v>8.3598431416959795E-5</v>
      </c>
      <c r="C44" s="12">
        <v>3.5551911238386214E-4</v>
      </c>
      <c r="D44" s="12">
        <v>2.3719957646459899E-4</v>
      </c>
      <c r="E44" s="12">
        <v>3.6647811128627696E-4</v>
      </c>
      <c r="F44" s="12">
        <v>3.4964613419758892E-4</v>
      </c>
      <c r="G44" s="12">
        <v>6.59360623404872E-4</v>
      </c>
      <c r="H44" s="12">
        <v>8.1674380546274477E-4</v>
      </c>
      <c r="I44" s="12">
        <v>9.8339692897864888E-4</v>
      </c>
      <c r="J44" s="12">
        <v>1.2138386169771604E-3</v>
      </c>
      <c r="K44" s="12">
        <v>1.1533348419243855E-3</v>
      </c>
      <c r="P44" s="45" t="s">
        <v>7</v>
      </c>
      <c r="Q44" s="46">
        <v>8.906458605298251E-5</v>
      </c>
      <c r="R44" s="46">
        <v>3.0360090264862664E-4</v>
      </c>
      <c r="S44" s="46">
        <v>3.0472197200775368E-4</v>
      </c>
      <c r="T44" s="46">
        <v>4.8006280919544428E-4</v>
      </c>
      <c r="U44" s="46">
        <v>8.2699170271555774E-4</v>
      </c>
      <c r="V44" s="46">
        <v>1.2816362360729111E-3</v>
      </c>
      <c r="W44" s="46">
        <v>6.3456954356907991E-4</v>
      </c>
      <c r="X44" s="46">
        <v>1.0284933418518683E-3</v>
      </c>
      <c r="Y44" s="46">
        <v>1.5058676869723446E-3</v>
      </c>
      <c r="Z44" s="46">
        <v>6.1559252252184728E-4</v>
      </c>
    </row>
    <row r="45" spans="1:26" x14ac:dyDescent="0.25">
      <c r="A45" s="19" t="s">
        <v>8</v>
      </c>
      <c r="B45" s="12">
        <v>6.9630898648973861E-5</v>
      </c>
      <c r="C45" s="12">
        <v>1.4176194132294086E-4</v>
      </c>
      <c r="D45" s="12">
        <v>3.4979480376530508E-4</v>
      </c>
      <c r="E45" s="12">
        <v>1.5034425343649559E-4</v>
      </c>
      <c r="F45" s="12">
        <v>1.1249225379588616E-4</v>
      </c>
      <c r="G45" s="12">
        <v>1.4572795081060628E-4</v>
      </c>
      <c r="H45" s="12">
        <v>2.3364773036460703E-4</v>
      </c>
      <c r="I45" s="12">
        <v>1.7030837419066439E-4</v>
      </c>
      <c r="J45" s="12">
        <v>5.2769819952413485E-5</v>
      </c>
      <c r="K45" s="12">
        <v>2.8331064252990807E-4</v>
      </c>
      <c r="P45" s="45" t="s">
        <v>8</v>
      </c>
      <c r="Q45" s="46">
        <v>0</v>
      </c>
      <c r="R45" s="46">
        <v>0</v>
      </c>
      <c r="S45" s="46">
        <v>0</v>
      </c>
      <c r="T45" s="46">
        <v>0</v>
      </c>
      <c r="U45" s="46">
        <v>0</v>
      </c>
      <c r="V45" s="46">
        <v>0</v>
      </c>
      <c r="W45" s="46">
        <v>0</v>
      </c>
      <c r="X45" s="46">
        <v>7.5967764203598826E-5</v>
      </c>
      <c r="Y45" s="46">
        <v>1.3711646826537559E-4</v>
      </c>
      <c r="Z45" s="46">
        <v>2.0826757082947046E-4</v>
      </c>
    </row>
    <row r="46" spans="1:26" ht="25.5" x14ac:dyDescent="0.25">
      <c r="A46" s="19" t="s">
        <v>9</v>
      </c>
      <c r="B46" s="12">
        <v>1.4983321180448511E-2</v>
      </c>
      <c r="C46" s="12">
        <v>4.2176889263857093E-3</v>
      </c>
      <c r="D46" s="12">
        <v>3.497950427765871E-3</v>
      </c>
      <c r="E46" s="12">
        <v>4.5547173801994533E-3</v>
      </c>
      <c r="F46" s="12">
        <v>6.4044634591544731E-3</v>
      </c>
      <c r="G46" s="12">
        <v>4.991763518637558E-3</v>
      </c>
      <c r="H46" s="12">
        <v>5.0064196849537949E-3</v>
      </c>
      <c r="I46" s="12">
        <v>7.1740940085573092E-3</v>
      </c>
      <c r="J46" s="12">
        <v>3.0590305141772528E-3</v>
      </c>
      <c r="K46" s="12">
        <v>4.1421796790611316E-2</v>
      </c>
      <c r="P46" s="45" t="s">
        <v>9</v>
      </c>
      <c r="Q46" s="46">
        <v>5.72338852497698E-2</v>
      </c>
      <c r="R46" s="46">
        <v>5.2108796820190617E-3</v>
      </c>
      <c r="S46" s="46">
        <v>2.8078620023785192E-3</v>
      </c>
      <c r="T46" s="46">
        <v>2.9379742878662529E-3</v>
      </c>
      <c r="U46" s="46">
        <v>2.0493168115561303E-3</v>
      </c>
      <c r="V46" s="46">
        <v>2.2224455044477075E-3</v>
      </c>
      <c r="W46" s="46">
        <v>3.0669894426299301E-3</v>
      </c>
      <c r="X46" s="46">
        <v>6.0590085897885655E-3</v>
      </c>
      <c r="Y46" s="46">
        <v>8.6639054466780639E-3</v>
      </c>
      <c r="Z46" s="46">
        <v>2.1648917416643248E-2</v>
      </c>
    </row>
    <row r="47" spans="1:26" x14ac:dyDescent="0.25">
      <c r="A47" s="19" t="s">
        <v>10</v>
      </c>
      <c r="B47" s="12">
        <v>0</v>
      </c>
      <c r="C47" s="12">
        <v>0</v>
      </c>
      <c r="D47" s="12">
        <v>0</v>
      </c>
      <c r="E47" s="12">
        <v>8.3494567365085385E-5</v>
      </c>
      <c r="F47" s="12">
        <v>0</v>
      </c>
      <c r="G47" s="12">
        <v>0</v>
      </c>
      <c r="H47" s="12">
        <v>0</v>
      </c>
      <c r="I47" s="12">
        <v>4.9320103664827192E-5</v>
      </c>
      <c r="J47" s="12">
        <v>1.3390489381954077E-4</v>
      </c>
      <c r="K47" s="12">
        <v>3.9335796925472818E-4</v>
      </c>
      <c r="P47" s="45" t="s">
        <v>10</v>
      </c>
      <c r="Q47" s="46">
        <v>0</v>
      </c>
      <c r="R47" s="46">
        <v>0</v>
      </c>
      <c r="S47" s="46">
        <v>0</v>
      </c>
      <c r="T47" s="46">
        <v>0</v>
      </c>
      <c r="U47" s="46">
        <v>0</v>
      </c>
      <c r="V47" s="46">
        <v>0</v>
      </c>
      <c r="W47" s="46">
        <v>0</v>
      </c>
      <c r="X47" s="46">
        <v>0</v>
      </c>
      <c r="Y47" s="46">
        <v>1.0482297380979743E-4</v>
      </c>
      <c r="Z47" s="46">
        <v>1.6654291749447722E-4</v>
      </c>
    </row>
    <row r="48" spans="1:26" x14ac:dyDescent="0.25">
      <c r="A48" s="19" t="s">
        <v>11</v>
      </c>
      <c r="B48" s="12">
        <v>9.7857067809054509E-5</v>
      </c>
      <c r="C48" s="12">
        <v>2.3908942018431052E-4</v>
      </c>
      <c r="D48" s="12">
        <v>1.4678459613182455E-4</v>
      </c>
      <c r="E48" s="12">
        <v>1.9953981021320378E-4</v>
      </c>
      <c r="F48" s="12">
        <v>3.2771049632809529E-5</v>
      </c>
      <c r="G48" s="12">
        <v>3.0564365108955182E-4</v>
      </c>
      <c r="H48" s="12">
        <v>6.8544747001842105E-4</v>
      </c>
      <c r="I48" s="12">
        <v>9.0264881718554626E-4</v>
      </c>
      <c r="J48" s="12">
        <v>1.0251829106116257E-3</v>
      </c>
      <c r="K48" s="12">
        <v>6.0296503486697338E-3</v>
      </c>
      <c r="P48" s="45" t="s">
        <v>11</v>
      </c>
      <c r="Q48" s="46">
        <v>0</v>
      </c>
      <c r="R48" s="46">
        <v>1.157588330136062E-4</v>
      </c>
      <c r="S48" s="46">
        <v>1.5945119065134176E-4</v>
      </c>
      <c r="T48" s="46">
        <v>1.0562208526743364E-4</v>
      </c>
      <c r="U48" s="46">
        <v>6.1680920052487986E-4</v>
      </c>
      <c r="V48" s="46">
        <v>4.0688940679886528E-4</v>
      </c>
      <c r="W48" s="46">
        <v>2.9422944954566552E-4</v>
      </c>
      <c r="X48" s="46">
        <v>9.8590655684631162E-4</v>
      </c>
      <c r="Y48" s="46">
        <v>1.3611532605609E-3</v>
      </c>
      <c r="Z48" s="46">
        <v>4.4428379091717863E-3</v>
      </c>
    </row>
    <row r="49" spans="1:26" x14ac:dyDescent="0.25">
      <c r="A49" s="19" t="s">
        <v>12</v>
      </c>
      <c r="B49" s="12">
        <v>2.2133737587757209E-3</v>
      </c>
      <c r="C49" s="12">
        <v>4.3374293081734011E-3</v>
      </c>
      <c r="D49" s="12">
        <v>3.434173254809993E-3</v>
      </c>
      <c r="E49" s="12">
        <v>3.1380576082997028E-3</v>
      </c>
      <c r="F49" s="12">
        <v>4.7166956164782963E-3</v>
      </c>
      <c r="G49" s="12">
        <v>2.8887456414199747E-3</v>
      </c>
      <c r="H49" s="12">
        <v>3.670773526089942E-3</v>
      </c>
      <c r="I49" s="12">
        <v>2.7880420177264268E-3</v>
      </c>
      <c r="J49" s="12">
        <v>2.8902911131795271E-3</v>
      </c>
      <c r="K49" s="12">
        <v>1.8624160677360969E-3</v>
      </c>
      <c r="P49" s="45" t="s">
        <v>12</v>
      </c>
      <c r="Q49" s="46">
        <v>1.2721217408894408E-2</v>
      </c>
      <c r="R49" s="46">
        <v>1.7099038197532557E-2</v>
      </c>
      <c r="S49" s="46">
        <v>1.6565595877729267E-2</v>
      </c>
      <c r="T49" s="46">
        <v>1.6687679762977366E-2</v>
      </c>
      <c r="U49" s="46">
        <v>1.9363683690862343E-2</v>
      </c>
      <c r="V49" s="46">
        <v>1.6670097337578148E-2</v>
      </c>
      <c r="W49" s="46">
        <v>1.5612777730105606E-2</v>
      </c>
      <c r="X49" s="46">
        <v>1.2750522508827883E-2</v>
      </c>
      <c r="Y49" s="46">
        <v>1.1570906478072207E-2</v>
      </c>
      <c r="Z49" s="46">
        <v>4.621217917918005E-3</v>
      </c>
    </row>
    <row r="52" spans="1:26" x14ac:dyDescent="0.25">
      <c r="A52" s="15" t="s">
        <v>20</v>
      </c>
      <c r="P52" s="47" t="s">
        <v>20</v>
      </c>
      <c r="Q52" s="47"/>
      <c r="R52" s="47"/>
      <c r="S52" s="47"/>
      <c r="T52" s="47"/>
      <c r="U52" s="47"/>
      <c r="V52" s="47"/>
      <c r="W52" s="47"/>
      <c r="X52" s="47"/>
      <c r="Y52" s="47"/>
      <c r="Z52" s="47"/>
    </row>
    <row r="53" spans="1:26" x14ac:dyDescent="0.25">
      <c r="A53" s="16" t="s">
        <v>30</v>
      </c>
      <c r="B53" s="3">
        <v>1</v>
      </c>
      <c r="C53" s="3">
        <v>2</v>
      </c>
      <c r="D53" s="3">
        <v>3</v>
      </c>
      <c r="E53" s="3">
        <v>4</v>
      </c>
      <c r="F53" s="3">
        <v>5</v>
      </c>
      <c r="G53" s="3">
        <v>6</v>
      </c>
      <c r="H53" s="3">
        <v>7</v>
      </c>
      <c r="I53" s="3">
        <v>8</v>
      </c>
      <c r="J53" s="3">
        <v>9</v>
      </c>
      <c r="K53" s="3">
        <v>10</v>
      </c>
      <c r="P53" s="43" t="s">
        <v>30</v>
      </c>
      <c r="Q53" s="43">
        <v>1</v>
      </c>
      <c r="R53" s="43">
        <v>2</v>
      </c>
      <c r="S53" s="43">
        <v>3</v>
      </c>
      <c r="T53" s="43">
        <v>4</v>
      </c>
      <c r="U53" s="43">
        <v>5</v>
      </c>
      <c r="V53" s="43">
        <v>6</v>
      </c>
      <c r="W53" s="43">
        <v>7</v>
      </c>
      <c r="X53" s="43">
        <v>8</v>
      </c>
      <c r="Y53" s="43">
        <v>9</v>
      </c>
      <c r="Z53" s="43">
        <v>10</v>
      </c>
    </row>
    <row r="54" spans="1:26" x14ac:dyDescent="0.25">
      <c r="A54" s="19" t="s">
        <v>1</v>
      </c>
      <c r="B54" s="12">
        <v>0.64603535870624995</v>
      </c>
      <c r="C54" s="12">
        <v>0.78476394772786418</v>
      </c>
      <c r="D54" s="12">
        <v>0.84556182556876081</v>
      </c>
      <c r="E54" s="12">
        <v>0.88619805200983093</v>
      </c>
      <c r="F54" s="12">
        <v>0.90650314471467952</v>
      </c>
      <c r="G54" s="12">
        <v>0.91844417686434887</v>
      </c>
      <c r="H54" s="12">
        <v>0.9155289532502312</v>
      </c>
      <c r="I54" s="12">
        <v>0.90386288280406724</v>
      </c>
      <c r="J54" s="12">
        <v>0.89100638099020524</v>
      </c>
      <c r="K54" s="12">
        <v>0.73552316186371614</v>
      </c>
      <c r="P54" s="45" t="s">
        <v>1</v>
      </c>
      <c r="Q54" s="46">
        <v>0.68515152715896988</v>
      </c>
      <c r="R54" s="46">
        <v>0.84217506136193021</v>
      </c>
      <c r="S54" s="46">
        <v>0.88318866094930704</v>
      </c>
      <c r="T54" s="46">
        <v>0.88653001238211426</v>
      </c>
      <c r="U54" s="46">
        <v>0.90362145265622729</v>
      </c>
      <c r="V54" s="46">
        <v>0.90770862202749503</v>
      </c>
      <c r="W54" s="46">
        <v>0.91587480564466905</v>
      </c>
      <c r="X54" s="46">
        <v>0.90003606822811755</v>
      </c>
      <c r="Y54" s="46">
        <v>0.86111843417360578</v>
      </c>
      <c r="Z54" s="46">
        <v>0.66757494488783664</v>
      </c>
    </row>
    <row r="55" spans="1:26" x14ac:dyDescent="0.25">
      <c r="A55" s="19" t="s">
        <v>2</v>
      </c>
      <c r="B55" s="12">
        <v>1.0282958330620354E-3</v>
      </c>
      <c r="C55" s="12">
        <v>1.2107926637349302E-4</v>
      </c>
      <c r="D55" s="12">
        <v>9.715444846443296E-5</v>
      </c>
      <c r="E55" s="12">
        <v>2.3984477955712183E-4</v>
      </c>
      <c r="F55" s="12">
        <v>6.1534410296675643E-6</v>
      </c>
      <c r="G55" s="12">
        <v>1.6342675156902754E-4</v>
      </c>
      <c r="H55" s="12">
        <v>4.4395908919929699E-4</v>
      </c>
      <c r="I55" s="12">
        <v>8.9180714994496928E-5</v>
      </c>
      <c r="J55" s="12">
        <v>6.3154806422691711E-5</v>
      </c>
      <c r="K55" s="12">
        <v>7.9172743879167462E-6</v>
      </c>
      <c r="P55" s="45" t="s">
        <v>2</v>
      </c>
      <c r="Q55" s="46">
        <v>1.269091312529826E-3</v>
      </c>
      <c r="R55" s="46">
        <v>9.4500106981075183E-5</v>
      </c>
      <c r="S55" s="46">
        <v>2.6026350391024236E-4</v>
      </c>
      <c r="T55" s="46">
        <v>9.6203793570585411E-5</v>
      </c>
      <c r="U55" s="46">
        <v>2.507112643547637E-4</v>
      </c>
      <c r="V55" s="46">
        <v>8.928753165563827E-5</v>
      </c>
      <c r="W55" s="46">
        <v>4.7749060019079143E-5</v>
      </c>
      <c r="X55" s="46">
        <v>9.9370392005773591E-5</v>
      </c>
      <c r="Y55" s="46">
        <v>4.5321310426347539E-5</v>
      </c>
      <c r="Z55" s="46">
        <v>4.05045156051535E-5</v>
      </c>
    </row>
    <row r="56" spans="1:26" x14ac:dyDescent="0.25">
      <c r="A56" s="19" t="s">
        <v>3</v>
      </c>
      <c r="B56" s="12">
        <v>2.8922642905802806E-2</v>
      </c>
      <c r="C56" s="12">
        <v>1.4220477710259747E-2</v>
      </c>
      <c r="D56" s="12">
        <v>9.8709238308524825E-3</v>
      </c>
      <c r="E56" s="12">
        <v>5.9521151603167781E-3</v>
      </c>
      <c r="F56" s="12">
        <v>3.6117042845463776E-3</v>
      </c>
      <c r="G56" s="12">
        <v>2.6280021401544548E-3</v>
      </c>
      <c r="H56" s="12">
        <v>1.2324199031151575E-3</v>
      </c>
      <c r="I56" s="12">
        <v>1.1102639336133871E-3</v>
      </c>
      <c r="J56" s="12">
        <v>2.8315970502091633E-4</v>
      </c>
      <c r="K56" s="12">
        <v>1.1862572066874416E-4</v>
      </c>
      <c r="P56" s="45" t="s">
        <v>3</v>
      </c>
      <c r="Q56" s="46">
        <v>2.8976827710206449E-2</v>
      </c>
      <c r="R56" s="46">
        <v>9.9077378420726996E-3</v>
      </c>
      <c r="S56" s="46">
        <v>4.6749371847127187E-3</v>
      </c>
      <c r="T56" s="46">
        <v>3.5473474299530026E-3</v>
      </c>
      <c r="U56" s="46">
        <v>1.3602123085389585E-3</v>
      </c>
      <c r="V56" s="46">
        <v>5.1910417553630299E-4</v>
      </c>
      <c r="W56" s="46">
        <v>6.625828998775028E-4</v>
      </c>
      <c r="X56" s="46">
        <v>2.9868850085378024E-4</v>
      </c>
      <c r="Y56" s="46">
        <v>7.3990713045825714E-5</v>
      </c>
      <c r="Z56" s="46">
        <v>1.0707338087731108E-5</v>
      </c>
    </row>
    <row r="57" spans="1:26" x14ac:dyDescent="0.25">
      <c r="A57" s="19" t="s">
        <v>4</v>
      </c>
      <c r="B57" s="12">
        <v>1.4035731748423045E-2</v>
      </c>
      <c r="C57" s="12">
        <v>6.076971781212393E-3</v>
      </c>
      <c r="D57" s="12">
        <v>5.1062022688478717E-3</v>
      </c>
      <c r="E57" s="12">
        <v>2.7243824845779373E-3</v>
      </c>
      <c r="F57" s="12">
        <v>1.5437590311504674E-3</v>
      </c>
      <c r="G57" s="12">
        <v>1.0248800384410495E-3</v>
      </c>
      <c r="H57" s="12">
        <v>5.6324114455085189E-4</v>
      </c>
      <c r="I57" s="12">
        <v>3.4207139804787249E-4</v>
      </c>
      <c r="J57" s="12">
        <v>2.7739339660840965E-4</v>
      </c>
      <c r="K57" s="12">
        <v>1.3439016893207397E-4</v>
      </c>
      <c r="P57" s="45" t="s">
        <v>4</v>
      </c>
      <c r="Q57" s="46">
        <v>8.7865264727614925E-3</v>
      </c>
      <c r="R57" s="46">
        <v>3.5693951845715793E-3</v>
      </c>
      <c r="S57" s="46">
        <v>3.2537709266910807E-3</v>
      </c>
      <c r="T57" s="46">
        <v>1.8808386064561291E-3</v>
      </c>
      <c r="U57" s="46">
        <v>1.2213332827040934E-3</v>
      </c>
      <c r="V57" s="46">
        <v>7.9434336336927768E-4</v>
      </c>
      <c r="W57" s="46">
        <v>4.1119764025522132E-4</v>
      </c>
      <c r="X57" s="46">
        <v>5.2487478104027059E-4</v>
      </c>
      <c r="Y57" s="46">
        <v>0</v>
      </c>
      <c r="Z57" s="46">
        <v>3.1244925104173192E-5</v>
      </c>
    </row>
    <row r="58" spans="1:26" x14ac:dyDescent="0.25">
      <c r="A58" s="19" t="s">
        <v>5</v>
      </c>
      <c r="B58" s="12">
        <v>1.7309974889767763E-3</v>
      </c>
      <c r="C58" s="12">
        <v>1.793437143920819E-3</v>
      </c>
      <c r="D58" s="12">
        <v>1.3386657622069286E-3</v>
      </c>
      <c r="E58" s="12">
        <v>1.0684573786372937E-3</v>
      </c>
      <c r="F58" s="12">
        <v>1.2385263706814597E-3</v>
      </c>
      <c r="G58" s="12">
        <v>1.0492782967995436E-3</v>
      </c>
      <c r="H58" s="12">
        <v>1.0294101524170353E-3</v>
      </c>
      <c r="I58" s="12">
        <v>1.5548614055543178E-3</v>
      </c>
      <c r="J58" s="12">
        <v>2.3738005761237604E-3</v>
      </c>
      <c r="K58" s="12">
        <v>1.0571728979056469E-2</v>
      </c>
      <c r="P58" s="45" t="s">
        <v>5</v>
      </c>
      <c r="Q58" s="46">
        <v>1.1109498627468379E-3</v>
      </c>
      <c r="R58" s="46">
        <v>2.3000910950303938E-4</v>
      </c>
      <c r="S58" s="46">
        <v>1.0710296802165006E-3</v>
      </c>
      <c r="T58" s="46">
        <v>8.41388502797277E-4</v>
      </c>
      <c r="U58" s="46">
        <v>9.2414375520124138E-4</v>
      </c>
      <c r="V58" s="46">
        <v>1.6890279726499862E-3</v>
      </c>
      <c r="W58" s="46">
        <v>1.0631313390589122E-3</v>
      </c>
      <c r="X58" s="46">
        <v>1.4317251628755364E-3</v>
      </c>
      <c r="Y58" s="46">
        <v>8.3770525790194449E-4</v>
      </c>
      <c r="Z58" s="46">
        <v>4.6731720190177324E-3</v>
      </c>
    </row>
    <row r="59" spans="1:26" ht="25.5" x14ac:dyDescent="0.25">
      <c r="A59" s="19" t="s">
        <v>6</v>
      </c>
      <c r="B59" s="12">
        <v>0.29119113249216516</v>
      </c>
      <c r="C59" s="12">
        <v>0.16860154404863695</v>
      </c>
      <c r="D59" s="12">
        <v>0.11120968383182581</v>
      </c>
      <c r="E59" s="12">
        <v>7.8302134703815737E-2</v>
      </c>
      <c r="F59" s="12">
        <v>5.6424324594384859E-2</v>
      </c>
      <c r="G59" s="12">
        <v>4.2418773051749889E-2</v>
      </c>
      <c r="H59" s="12">
        <v>2.9822406357892673E-2</v>
      </c>
      <c r="I59" s="12">
        <v>1.8429053493546455E-2</v>
      </c>
      <c r="J59" s="12">
        <v>1.1933395131046055E-2</v>
      </c>
      <c r="K59" s="12">
        <v>5.2057069355365155E-3</v>
      </c>
      <c r="P59" s="45" t="s">
        <v>6</v>
      </c>
      <c r="Q59" s="46">
        <v>0.20161419890874002</v>
      </c>
      <c r="R59" s="46">
        <v>0.11915342211234742</v>
      </c>
      <c r="S59" s="46">
        <v>7.9304134828249551E-2</v>
      </c>
      <c r="T59" s="46">
        <v>5.7410496666861044E-2</v>
      </c>
      <c r="U59" s="46">
        <v>3.9381060603566796E-2</v>
      </c>
      <c r="V59" s="46">
        <v>2.6263600593096799E-2</v>
      </c>
      <c r="W59" s="46">
        <v>2.3980509508005572E-2</v>
      </c>
      <c r="X59" s="46">
        <v>1.7414260879713577E-2</v>
      </c>
      <c r="Y59" s="46">
        <v>9.18710194776798E-3</v>
      </c>
      <c r="Z59" s="46">
        <v>5.4845473829500217E-3</v>
      </c>
    </row>
    <row r="60" spans="1:26" x14ac:dyDescent="0.25">
      <c r="A60" s="19" t="s">
        <v>7</v>
      </c>
      <c r="B60" s="12">
        <v>2.0705912398015787E-4</v>
      </c>
      <c r="C60" s="12">
        <v>0</v>
      </c>
      <c r="D60" s="12">
        <v>0</v>
      </c>
      <c r="E60" s="12">
        <v>0</v>
      </c>
      <c r="F60" s="12">
        <v>0</v>
      </c>
      <c r="G60" s="12">
        <v>0</v>
      </c>
      <c r="H60" s="12">
        <v>0</v>
      </c>
      <c r="I60" s="12">
        <v>0</v>
      </c>
      <c r="J60" s="12">
        <v>0</v>
      </c>
      <c r="K60" s="12">
        <v>8.3853824704413862E-5</v>
      </c>
      <c r="P60" s="45" t="s">
        <v>7</v>
      </c>
      <c r="Q60" s="46">
        <v>0</v>
      </c>
      <c r="R60" s="46">
        <v>0</v>
      </c>
      <c r="S60" s="46">
        <v>0</v>
      </c>
      <c r="T60" s="46">
        <v>0</v>
      </c>
      <c r="U60" s="46">
        <v>3.3779064673290955E-4</v>
      </c>
      <c r="V60" s="46">
        <v>1.2588420201955914E-4</v>
      </c>
      <c r="W60" s="46">
        <v>0</v>
      </c>
      <c r="X60" s="46">
        <v>0</v>
      </c>
      <c r="Y60" s="46">
        <v>5.2249241789983833E-6</v>
      </c>
      <c r="Z60" s="46">
        <v>0</v>
      </c>
    </row>
    <row r="61" spans="1:26" x14ac:dyDescent="0.25">
      <c r="A61" s="19" t="s">
        <v>8</v>
      </c>
      <c r="B61" s="12">
        <v>4.41319822648884E-3</v>
      </c>
      <c r="C61" s="12">
        <v>2.9280706382410989E-3</v>
      </c>
      <c r="D61" s="12">
        <v>2.0935169192386354E-3</v>
      </c>
      <c r="E61" s="12">
        <v>1.3341195830683251E-3</v>
      </c>
      <c r="F61" s="12">
        <v>2.7102251737000792E-3</v>
      </c>
      <c r="G61" s="12">
        <v>1.585317811588985E-3</v>
      </c>
      <c r="H61" s="12">
        <v>9.0834107961348736E-4</v>
      </c>
      <c r="I61" s="12">
        <v>1.8568002762210992E-3</v>
      </c>
      <c r="J61" s="12">
        <v>8.5358797110417954E-4</v>
      </c>
      <c r="K61" s="12">
        <v>1.1899473521126359E-3</v>
      </c>
      <c r="P61" s="45" t="s">
        <v>8</v>
      </c>
      <c r="Q61" s="46">
        <v>1.2064483438127291E-3</v>
      </c>
      <c r="R61" s="46">
        <v>9.1582759839290632E-4</v>
      </c>
      <c r="S61" s="46">
        <v>1.6379553301881587E-3</v>
      </c>
      <c r="T61" s="46">
        <v>1.3120511553032944E-3</v>
      </c>
      <c r="U61" s="46">
        <v>2.0203784745229897E-3</v>
      </c>
      <c r="V61" s="46">
        <v>1.4478343524396331E-3</v>
      </c>
      <c r="W61" s="46">
        <v>8.9811344162288201E-4</v>
      </c>
      <c r="X61" s="46">
        <v>6.988498339972483E-4</v>
      </c>
      <c r="Y61" s="46">
        <v>2.9575981108826403E-4</v>
      </c>
      <c r="Z61" s="46">
        <v>3.278350096157566E-4</v>
      </c>
    </row>
    <row r="62" spans="1:26" ht="25.5" x14ac:dyDescent="0.25">
      <c r="A62" s="19" t="s">
        <v>9</v>
      </c>
      <c r="B62" s="12">
        <v>8.1638798688288914E-3</v>
      </c>
      <c r="C62" s="12">
        <v>1.610357762002056E-2</v>
      </c>
      <c r="D62" s="12">
        <v>1.3090461910877723E-2</v>
      </c>
      <c r="E62" s="12">
        <v>1.0440295090694303E-2</v>
      </c>
      <c r="F62" s="12">
        <v>1.0851885982740474E-2</v>
      </c>
      <c r="G62" s="12">
        <v>1.1153458272580042E-2</v>
      </c>
      <c r="H62" s="12">
        <v>2.1327755272016902E-2</v>
      </c>
      <c r="I62" s="12">
        <v>3.5355676576003719E-2</v>
      </c>
      <c r="J62" s="12">
        <v>5.062903691097926E-2</v>
      </c>
      <c r="K62" s="12">
        <v>0.17295252891910379</v>
      </c>
      <c r="P62" s="45" t="s">
        <v>9</v>
      </c>
      <c r="Q62" s="46">
        <v>6.2399316226135475E-2</v>
      </c>
      <c r="R62" s="46">
        <v>1.5057147322467365E-2</v>
      </c>
      <c r="S62" s="46">
        <v>1.5149804954288058E-2</v>
      </c>
      <c r="T62" s="46">
        <v>2.7791774671875779E-2</v>
      </c>
      <c r="U62" s="46">
        <v>2.5784382651516273E-2</v>
      </c>
      <c r="V62" s="46">
        <v>3.2439895894360929E-2</v>
      </c>
      <c r="W62" s="46">
        <v>2.1792092155318035E-2</v>
      </c>
      <c r="X62" s="46">
        <v>3.3293326634045904E-2</v>
      </c>
      <c r="Y62" s="46">
        <v>6.6037525672791003E-2</v>
      </c>
      <c r="Z62" s="46">
        <v>0.23720625534043091</v>
      </c>
    </row>
    <row r="63" spans="1:26" x14ac:dyDescent="0.25">
      <c r="A63" s="19" t="s">
        <v>10</v>
      </c>
      <c r="B63" s="12">
        <v>0</v>
      </c>
      <c r="C63" s="12">
        <v>0</v>
      </c>
      <c r="D63" s="12">
        <v>1.3655360671178734E-4</v>
      </c>
      <c r="E63" s="12">
        <v>1.4642255925879195E-4</v>
      </c>
      <c r="F63" s="12">
        <v>3.3143233753069154E-4</v>
      </c>
      <c r="G63" s="12">
        <v>0</v>
      </c>
      <c r="H63" s="12">
        <v>0</v>
      </c>
      <c r="I63" s="12">
        <v>0</v>
      </c>
      <c r="J63" s="12">
        <v>0</v>
      </c>
      <c r="K63" s="12">
        <v>0</v>
      </c>
      <c r="P63" s="45" t="s">
        <v>10</v>
      </c>
      <c r="Q63" s="46">
        <v>0</v>
      </c>
      <c r="R63" s="46">
        <v>0</v>
      </c>
      <c r="S63" s="46">
        <v>0</v>
      </c>
      <c r="T63" s="46">
        <v>0</v>
      </c>
      <c r="U63" s="46">
        <v>0</v>
      </c>
      <c r="V63" s="46">
        <v>0</v>
      </c>
      <c r="W63" s="46">
        <v>0</v>
      </c>
      <c r="X63" s="46">
        <v>0</v>
      </c>
      <c r="Y63" s="46">
        <v>5.6140862778227445E-6</v>
      </c>
      <c r="Z63" s="46">
        <v>1.2891681542130404E-4</v>
      </c>
    </row>
    <row r="64" spans="1:26" x14ac:dyDescent="0.25">
      <c r="A64" s="19" t="s">
        <v>11</v>
      </c>
      <c r="B64" s="12">
        <v>9.7672923779952309E-4</v>
      </c>
      <c r="C64" s="12">
        <v>3.532661945194077E-3</v>
      </c>
      <c r="D64" s="12">
        <v>9.0186254315011982E-3</v>
      </c>
      <c r="E64" s="12">
        <v>1.0239913472558509E-2</v>
      </c>
      <c r="F64" s="12">
        <v>1.523384249290693E-2</v>
      </c>
      <c r="G64" s="12">
        <v>1.9546733272694933E-2</v>
      </c>
      <c r="H64" s="12">
        <v>2.6660547083591869E-2</v>
      </c>
      <c r="I64" s="12">
        <v>3.4152906388138574E-2</v>
      </c>
      <c r="J64" s="12">
        <v>4.0216442396665907E-2</v>
      </c>
      <c r="K64" s="12">
        <v>6.3691957679977582E-2</v>
      </c>
      <c r="P64" s="45" t="s">
        <v>11</v>
      </c>
      <c r="Q64" s="46">
        <v>2.3882669758611961E-3</v>
      </c>
      <c r="R64" s="46">
        <v>6.0578220818022629E-3</v>
      </c>
      <c r="S64" s="46">
        <v>9.7702484247402677E-3</v>
      </c>
      <c r="T64" s="46">
        <v>1.8021606145358766E-2</v>
      </c>
      <c r="U64" s="46">
        <v>2.2990860494444074E-2</v>
      </c>
      <c r="V64" s="46">
        <v>2.5660109940608102E-2</v>
      </c>
      <c r="W64" s="46">
        <v>3.3190003313874207E-2</v>
      </c>
      <c r="X64" s="46">
        <v>4.4696930764869046E-2</v>
      </c>
      <c r="Y64" s="46">
        <v>5.9641781939342657E-2</v>
      </c>
      <c r="Z64" s="46">
        <v>8.024466696900473E-2</v>
      </c>
    </row>
    <row r="65" spans="1:26" x14ac:dyDescent="0.25">
      <c r="A65" s="19" t="s">
        <v>12</v>
      </c>
      <c r="B65" s="12">
        <v>3.2949743682228558E-3</v>
      </c>
      <c r="C65" s="12">
        <v>1.8582321182766769E-3</v>
      </c>
      <c r="D65" s="12">
        <v>2.4763864207123475E-3</v>
      </c>
      <c r="E65" s="12">
        <v>3.3542627776843299E-3</v>
      </c>
      <c r="F65" s="12">
        <v>1.5450015766494329E-3</v>
      </c>
      <c r="G65" s="12">
        <v>1.9859535000731556E-3</v>
      </c>
      <c r="H65" s="12">
        <v>2.4829666673714672E-3</v>
      </c>
      <c r="I65" s="12">
        <v>3.2463030098128618E-3</v>
      </c>
      <c r="J65" s="12">
        <v>2.3636481158235451E-3</v>
      </c>
      <c r="K65" s="12">
        <v>1.0520181281803756E-2</v>
      </c>
      <c r="P65" s="45" t="s">
        <v>12</v>
      </c>
      <c r="Q65" s="46">
        <v>7.0968470282361052E-3</v>
      </c>
      <c r="R65" s="46">
        <v>2.8390772799314541E-3</v>
      </c>
      <c r="S65" s="46">
        <v>1.6891942176964351E-3</v>
      </c>
      <c r="T65" s="46">
        <v>2.5682806457098858E-3</v>
      </c>
      <c r="U65" s="46">
        <v>2.1076738621906188E-3</v>
      </c>
      <c r="V65" s="46">
        <v>3.2622899467687457E-3</v>
      </c>
      <c r="W65" s="46">
        <v>2.0798149972995174E-3</v>
      </c>
      <c r="X65" s="46">
        <v>1.5059048224813339E-3</v>
      </c>
      <c r="Y65" s="46">
        <v>2.7515401635733916E-3</v>
      </c>
      <c r="Z65" s="46">
        <v>4.277204796925874E-3</v>
      </c>
    </row>
  </sheetData>
  <mergeCells count="2">
    <mergeCell ref="A1:M1"/>
    <mergeCell ref="N1:Z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5"/>
  <sheetViews>
    <sheetView zoomScale="75" workbookViewId="0">
      <selection activeCell="A13" sqref="A13:D21"/>
    </sheetView>
    <sheetView workbookViewId="1">
      <selection sqref="A1:N1"/>
    </sheetView>
    <sheetView workbookViewId="2">
      <selection sqref="A1:N1"/>
    </sheetView>
  </sheetViews>
  <sheetFormatPr defaultColWidth="0" defaultRowHeight="15" x14ac:dyDescent="0.25"/>
  <cols>
    <col min="1" max="1" width="19.7109375" style="13" customWidth="1"/>
    <col min="2" max="2" width="17.7109375" style="8" customWidth="1"/>
    <col min="3" max="3" width="10.140625" style="8" customWidth="1"/>
    <col min="4" max="4" width="10.42578125" style="8" customWidth="1"/>
    <col min="5" max="5" width="11.28515625" style="8" customWidth="1"/>
    <col min="6" max="13" width="8.7109375" style="8" customWidth="1"/>
    <col min="14" max="14" width="8.7109375" style="14" customWidth="1"/>
    <col min="15" max="16" width="8.7109375" style="36" customWidth="1"/>
    <col min="17" max="17" width="19.42578125" style="36" customWidth="1"/>
    <col min="18" max="18" width="16.7109375" style="36" customWidth="1"/>
    <col min="19" max="20" width="10.85546875" style="36" customWidth="1"/>
    <col min="21" max="30" width="8.7109375" style="36" customWidth="1"/>
    <col min="31" max="16384" width="8.7109375" style="36" hidden="1"/>
  </cols>
  <sheetData>
    <row r="1" spans="1:30" ht="27.95" customHeight="1" thickBot="1" x14ac:dyDescent="0.5">
      <c r="A1" s="138" t="s">
        <v>49</v>
      </c>
      <c r="B1" s="139"/>
      <c r="C1" s="139"/>
      <c r="D1" s="139"/>
      <c r="E1" s="139"/>
      <c r="F1" s="139"/>
      <c r="G1" s="139"/>
      <c r="H1" s="139"/>
      <c r="I1" s="139"/>
      <c r="J1" s="139"/>
      <c r="K1" s="139"/>
      <c r="L1" s="139"/>
      <c r="M1" s="139"/>
      <c r="N1" s="139"/>
      <c r="O1" s="136" t="s">
        <v>50</v>
      </c>
      <c r="P1" s="137"/>
      <c r="Q1" s="137"/>
      <c r="R1" s="137"/>
      <c r="S1" s="137"/>
      <c r="T1" s="137"/>
      <c r="U1" s="137"/>
      <c r="V1" s="137"/>
      <c r="W1" s="137"/>
      <c r="X1" s="137"/>
      <c r="Y1" s="137"/>
      <c r="Z1" s="137"/>
      <c r="AA1" s="137"/>
      <c r="AB1" s="137"/>
      <c r="AC1" s="50"/>
      <c r="AD1" s="51"/>
    </row>
    <row r="4" spans="1:30" x14ac:dyDescent="0.25">
      <c r="A4" s="15" t="s">
        <v>38</v>
      </c>
      <c r="Q4" s="41" t="s">
        <v>38</v>
      </c>
      <c r="R4" s="42"/>
      <c r="S4" s="42"/>
      <c r="T4" s="42"/>
    </row>
    <row r="5" spans="1:30" ht="33.950000000000003" customHeight="1" x14ac:dyDescent="0.25">
      <c r="A5" s="24" t="s">
        <v>21</v>
      </c>
      <c r="B5" s="3" t="s">
        <v>16</v>
      </c>
      <c r="C5" s="3" t="s">
        <v>0</v>
      </c>
      <c r="D5" s="3" t="s">
        <v>17</v>
      </c>
      <c r="Q5" s="44" t="s">
        <v>21</v>
      </c>
      <c r="R5" s="44" t="s">
        <v>16</v>
      </c>
      <c r="S5" s="44" t="s">
        <v>0</v>
      </c>
      <c r="T5" s="44" t="s">
        <v>17</v>
      </c>
    </row>
    <row r="6" spans="1:30" hidden="1" x14ac:dyDescent="0.25">
      <c r="A6" s="25" t="s">
        <v>22</v>
      </c>
      <c r="B6" s="20">
        <v>22129917998</v>
      </c>
      <c r="C6" s="20">
        <v>2236047</v>
      </c>
      <c r="D6" s="6">
        <f>B6/SUM($B$6:$B$7)</f>
        <v>0.77813083694051721</v>
      </c>
      <c r="Q6" s="45" t="s">
        <v>22</v>
      </c>
      <c r="R6" s="45">
        <v>20474106814</v>
      </c>
      <c r="S6" s="45">
        <v>2009073</v>
      </c>
      <c r="T6" s="46">
        <f>R6/SUM(R6:R7)</f>
        <v>0.70195876001560165</v>
      </c>
    </row>
    <row r="7" spans="1:30" x14ac:dyDescent="0.25">
      <c r="A7" s="25" t="s">
        <v>23</v>
      </c>
      <c r="B7" s="57">
        <v>6309923925</v>
      </c>
      <c r="C7" s="20">
        <v>643159</v>
      </c>
      <c r="D7" s="6">
        <f>B7/SUM($B$6:$B$7)</f>
        <v>0.22186916305948273</v>
      </c>
      <c r="Q7" s="45" t="s">
        <v>23</v>
      </c>
      <c r="R7" s="58">
        <v>8693000971</v>
      </c>
      <c r="S7" s="45">
        <v>872410</v>
      </c>
      <c r="T7" s="46">
        <f>R7/SUM(R6:R7)</f>
        <v>0.29804123998439841</v>
      </c>
    </row>
    <row r="10" spans="1:30" x14ac:dyDescent="0.25">
      <c r="A10" s="15" t="s">
        <v>35</v>
      </c>
      <c r="Q10" s="47" t="s">
        <v>35</v>
      </c>
    </row>
    <row r="11" spans="1:30" x14ac:dyDescent="0.25">
      <c r="A11" s="26" t="s">
        <v>26</v>
      </c>
      <c r="B11" s="21" t="s">
        <v>14</v>
      </c>
      <c r="C11" s="21" t="s">
        <v>15</v>
      </c>
      <c r="Q11" s="43" t="s">
        <v>26</v>
      </c>
      <c r="R11" s="43" t="s">
        <v>14</v>
      </c>
      <c r="S11" s="43" t="s">
        <v>15</v>
      </c>
    </row>
    <row r="12" spans="1:30" hidden="1" x14ac:dyDescent="0.25">
      <c r="A12" s="27" t="s">
        <v>22</v>
      </c>
      <c r="B12" s="22">
        <v>0.7865928670646648</v>
      </c>
      <c r="C12" s="22">
        <v>0.75970439429914149</v>
      </c>
      <c r="Q12" s="45" t="s">
        <v>22</v>
      </c>
      <c r="R12" s="46">
        <v>0.69128877354846652</v>
      </c>
      <c r="S12" s="46">
        <v>0.72308178267157186</v>
      </c>
      <c r="T12" s="40"/>
      <c r="U12" s="40"/>
    </row>
    <row r="13" spans="1:30" x14ac:dyDescent="0.25">
      <c r="A13" s="27" t="s">
        <v>23</v>
      </c>
      <c r="B13" s="22">
        <v>0.21340713293533514</v>
      </c>
      <c r="C13" s="22">
        <v>0.24029560570085856</v>
      </c>
      <c r="Q13" s="45" t="s">
        <v>23</v>
      </c>
      <c r="R13" s="46">
        <v>0.30871122645153348</v>
      </c>
      <c r="S13" s="46">
        <v>0.27691821732842814</v>
      </c>
      <c r="T13" s="40"/>
      <c r="U13" s="40"/>
    </row>
    <row r="16" spans="1:30" x14ac:dyDescent="0.25">
      <c r="A16" s="15" t="s">
        <v>39</v>
      </c>
      <c r="Q16" s="47" t="s">
        <v>39</v>
      </c>
      <c r="R16" s="47"/>
      <c r="S16" s="47"/>
      <c r="T16" s="47"/>
      <c r="U16" s="47"/>
      <c r="V16" s="47"/>
      <c r="W16" s="47"/>
      <c r="X16" s="47"/>
      <c r="Y16" s="47"/>
      <c r="Z16" s="47"/>
      <c r="AA16" s="47"/>
      <c r="AB16" s="47"/>
    </row>
    <row r="17" spans="1:28" x14ac:dyDescent="0.25">
      <c r="A17" s="16" t="s">
        <v>27</v>
      </c>
      <c r="B17" s="2" t="s">
        <v>28</v>
      </c>
      <c r="C17" s="2">
        <v>1</v>
      </c>
      <c r="D17" s="2">
        <v>2</v>
      </c>
      <c r="E17" s="2">
        <v>3</v>
      </c>
      <c r="F17" s="2">
        <v>4</v>
      </c>
      <c r="G17" s="2">
        <v>5</v>
      </c>
      <c r="H17" s="2">
        <v>6</v>
      </c>
      <c r="I17" s="2">
        <v>7</v>
      </c>
      <c r="J17" s="2">
        <v>8</v>
      </c>
      <c r="K17" s="2">
        <v>9</v>
      </c>
      <c r="L17" s="2">
        <v>10</v>
      </c>
      <c r="Q17" s="43" t="s">
        <v>27</v>
      </c>
      <c r="R17" s="43" t="s">
        <v>28</v>
      </c>
      <c r="S17" s="43">
        <v>1</v>
      </c>
      <c r="T17" s="43">
        <v>2</v>
      </c>
      <c r="U17" s="43">
        <v>3</v>
      </c>
      <c r="V17" s="43">
        <v>4</v>
      </c>
      <c r="W17" s="43">
        <v>5</v>
      </c>
      <c r="X17" s="43">
        <v>6</v>
      </c>
      <c r="Y17" s="43">
        <v>7</v>
      </c>
      <c r="Z17" s="43">
        <v>8</v>
      </c>
      <c r="AA17" s="43">
        <v>9</v>
      </c>
      <c r="AB17" s="43">
        <v>10</v>
      </c>
    </row>
    <row r="18" spans="1:28" hidden="1" x14ac:dyDescent="0.25">
      <c r="A18" s="28" t="s">
        <v>24</v>
      </c>
      <c r="B18" s="6" t="s">
        <v>22</v>
      </c>
      <c r="C18" s="6">
        <v>0.91503009250568468</v>
      </c>
      <c r="D18" s="6">
        <v>0.85035687110095937</v>
      </c>
      <c r="E18" s="6">
        <v>0.82173296731932099</v>
      </c>
      <c r="F18" s="6">
        <v>0.81645893593598662</v>
      </c>
      <c r="G18" s="6">
        <v>0.7953083469096468</v>
      </c>
      <c r="H18" s="6">
        <v>0.7779721555222513</v>
      </c>
      <c r="I18" s="6">
        <v>0.76148792913800412</v>
      </c>
      <c r="J18" s="6">
        <v>0.75348631487687734</v>
      </c>
      <c r="K18" s="6">
        <v>0.72643008112685392</v>
      </c>
      <c r="L18" s="12">
        <v>0.7363754793072651</v>
      </c>
      <c r="Q18" s="45" t="s">
        <v>24</v>
      </c>
      <c r="R18" s="45" t="s">
        <v>22</v>
      </c>
      <c r="S18" s="46">
        <v>0.86944978869339384</v>
      </c>
      <c r="T18" s="46">
        <v>0.78616032437592676</v>
      </c>
      <c r="U18" s="46">
        <v>0.74183333804223939</v>
      </c>
      <c r="V18" s="46">
        <v>0.71026018969421412</v>
      </c>
      <c r="W18" s="46">
        <v>0.68735958902021477</v>
      </c>
      <c r="X18" s="46">
        <v>0.66351135933768612</v>
      </c>
      <c r="Y18" s="46">
        <v>0.64928102537688803</v>
      </c>
      <c r="Z18" s="46">
        <v>0.6392285596316668</v>
      </c>
      <c r="AA18" s="46">
        <v>0.62421119818455395</v>
      </c>
      <c r="AB18" s="46">
        <v>0.64611687037606713</v>
      </c>
    </row>
    <row r="19" spans="1:28" x14ac:dyDescent="0.25">
      <c r="A19" s="18" t="s">
        <v>24</v>
      </c>
      <c r="B19" s="6" t="s">
        <v>23</v>
      </c>
      <c r="C19" s="6">
        <v>8.4969907494315322E-2</v>
      </c>
      <c r="D19" s="6">
        <v>0.14964312889904061</v>
      </c>
      <c r="E19" s="6">
        <v>0.17826703268067898</v>
      </c>
      <c r="F19" s="6">
        <v>0.18354106406401341</v>
      </c>
      <c r="G19" s="6">
        <v>0.20469165309035317</v>
      </c>
      <c r="H19" s="6">
        <v>0.2220278444777487</v>
      </c>
      <c r="I19" s="6">
        <v>0.23851207086199591</v>
      </c>
      <c r="J19" s="6">
        <v>0.24651368512312272</v>
      </c>
      <c r="K19" s="6">
        <v>0.27356991887314608</v>
      </c>
      <c r="L19" s="12">
        <v>0.2636245206927349</v>
      </c>
      <c r="Q19" s="45" t="s">
        <v>24</v>
      </c>
      <c r="R19" s="45" t="s">
        <v>23</v>
      </c>
      <c r="S19" s="46">
        <v>0.13055021130660616</v>
      </c>
      <c r="T19" s="46">
        <v>0.21383967562407324</v>
      </c>
      <c r="U19" s="46">
        <v>0.25816666195776061</v>
      </c>
      <c r="V19" s="46">
        <v>0.28973981030578588</v>
      </c>
      <c r="W19" s="46">
        <v>0.31264041097978523</v>
      </c>
      <c r="X19" s="46">
        <v>0.33648864066231388</v>
      </c>
      <c r="Y19" s="46">
        <v>0.35071897462311197</v>
      </c>
      <c r="Z19" s="46">
        <v>0.3607714403683332</v>
      </c>
      <c r="AA19" s="46">
        <v>0.37578880181544605</v>
      </c>
      <c r="AB19" s="46">
        <v>0.35388312962393287</v>
      </c>
    </row>
    <row r="20" spans="1:28" hidden="1" x14ac:dyDescent="0.25">
      <c r="A20" s="18" t="s">
        <v>25</v>
      </c>
      <c r="B20" s="9" t="s">
        <v>22</v>
      </c>
      <c r="C20" s="6">
        <v>0.73714911343534295</v>
      </c>
      <c r="D20" s="6">
        <v>0.71830254393764859</v>
      </c>
      <c r="E20" s="6">
        <v>0.71955931118540661</v>
      </c>
      <c r="F20" s="6">
        <v>0.72969956227173993</v>
      </c>
      <c r="G20" s="6">
        <v>0.73805667836174682</v>
      </c>
      <c r="H20" s="6">
        <v>0.74073590751076512</v>
      </c>
      <c r="I20" s="6">
        <v>0.75510205413455234</v>
      </c>
      <c r="J20" s="6">
        <v>0.75889599330793001</v>
      </c>
      <c r="K20" s="6">
        <v>0.76397634296094885</v>
      </c>
      <c r="L20" s="6">
        <v>0.84715947203819131</v>
      </c>
      <c r="Q20" s="45" t="s">
        <v>25</v>
      </c>
      <c r="R20" s="45" t="s">
        <v>22</v>
      </c>
      <c r="S20" s="46">
        <v>0.66377877278046082</v>
      </c>
      <c r="T20" s="46">
        <v>0.64443084174899035</v>
      </c>
      <c r="U20" s="46">
        <v>0.64322236464303439</v>
      </c>
      <c r="V20" s="46">
        <v>0.66895011153315664</v>
      </c>
      <c r="W20" s="46">
        <v>0.6930997116329638</v>
      </c>
      <c r="X20" s="46">
        <v>0.68856102377016792</v>
      </c>
      <c r="Y20" s="46">
        <v>0.70466821311386285</v>
      </c>
      <c r="Z20" s="46">
        <v>0.72487294858113971</v>
      </c>
      <c r="AA20" s="46">
        <v>0.76798350425874617</v>
      </c>
      <c r="AB20" s="46">
        <v>0.86479574314550922</v>
      </c>
    </row>
    <row r="21" spans="1:28" x14ac:dyDescent="0.25">
      <c r="A21" s="18" t="s">
        <v>25</v>
      </c>
      <c r="B21" s="9" t="s">
        <v>23</v>
      </c>
      <c r="C21" s="6">
        <v>0.2628508865646571</v>
      </c>
      <c r="D21" s="6">
        <v>0.28169745606235147</v>
      </c>
      <c r="E21" s="6">
        <v>0.28044068881459339</v>
      </c>
      <c r="F21" s="6">
        <v>0.27030043772826007</v>
      </c>
      <c r="G21" s="6">
        <v>0.26194332163825323</v>
      </c>
      <c r="H21" s="6">
        <v>0.25926409248923482</v>
      </c>
      <c r="I21" s="6">
        <v>0.24489794586544772</v>
      </c>
      <c r="J21" s="6">
        <v>0.24110400669207002</v>
      </c>
      <c r="K21" s="6">
        <v>0.2360236570390512</v>
      </c>
      <c r="L21" s="6">
        <v>0.15284052796180869</v>
      </c>
      <c r="Q21" s="45" t="s">
        <v>25</v>
      </c>
      <c r="R21" s="45" t="s">
        <v>23</v>
      </c>
      <c r="S21" s="46">
        <v>0.33622122721953918</v>
      </c>
      <c r="T21" s="46">
        <v>0.35556915825100965</v>
      </c>
      <c r="U21" s="46">
        <v>0.35677763535696561</v>
      </c>
      <c r="V21" s="46">
        <v>0.33104988846684336</v>
      </c>
      <c r="W21" s="46">
        <v>0.3069002883670362</v>
      </c>
      <c r="X21" s="46">
        <v>0.31143897622983208</v>
      </c>
      <c r="Y21" s="46">
        <v>0.29533178688613715</v>
      </c>
      <c r="Z21" s="46">
        <v>0.27512705141886029</v>
      </c>
      <c r="AA21" s="46">
        <v>0.23201649574125383</v>
      </c>
      <c r="AB21" s="46">
        <v>0.13520425685449078</v>
      </c>
    </row>
    <row r="22" spans="1:28" x14ac:dyDescent="0.25">
      <c r="S22" s="40"/>
      <c r="T22" s="40"/>
      <c r="U22" s="40"/>
      <c r="V22" s="40"/>
      <c r="W22" s="40"/>
      <c r="X22" s="40"/>
      <c r="Y22" s="40"/>
      <c r="Z22" s="40"/>
      <c r="AA22" s="40"/>
      <c r="AB22" s="40"/>
    </row>
    <row r="23" spans="1:28" x14ac:dyDescent="0.25">
      <c r="S23" s="40"/>
      <c r="T23" s="40"/>
      <c r="U23" s="40"/>
      <c r="V23" s="40"/>
      <c r="W23" s="40"/>
      <c r="X23" s="40"/>
      <c r="Y23" s="40"/>
      <c r="Z23" s="40"/>
      <c r="AA23" s="40"/>
      <c r="AB23" s="40"/>
    </row>
    <row r="24" spans="1:28" x14ac:dyDescent="0.25">
      <c r="S24" s="40"/>
      <c r="T24" s="40"/>
      <c r="U24" s="40"/>
      <c r="V24" s="40"/>
      <c r="W24" s="40"/>
      <c r="X24" s="40"/>
      <c r="Y24" s="40"/>
      <c r="Z24" s="40"/>
      <c r="AA24" s="40"/>
      <c r="AB24" s="40"/>
    </row>
    <row r="25" spans="1:28" x14ac:dyDescent="0.25">
      <c r="S25" s="40"/>
      <c r="T25" s="40"/>
      <c r="U25" s="40"/>
      <c r="V25" s="40"/>
      <c r="W25" s="40"/>
      <c r="X25" s="40"/>
      <c r="Y25" s="40"/>
      <c r="Z25" s="40"/>
      <c r="AA25" s="40"/>
      <c r="AB25" s="40"/>
    </row>
  </sheetData>
  <mergeCells count="2">
    <mergeCell ref="A1:N1"/>
    <mergeCell ref="O1:A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1"/>
  <sheetViews>
    <sheetView zoomScale="95" workbookViewId="0">
      <selection activeCell="Q31" sqref="Q31:Z31"/>
    </sheetView>
    <sheetView workbookViewId="1">
      <selection sqref="A1:M1"/>
    </sheetView>
    <sheetView workbookViewId="2">
      <selection sqref="A1:M1"/>
    </sheetView>
  </sheetViews>
  <sheetFormatPr defaultColWidth="0" defaultRowHeight="15" x14ac:dyDescent="0.25"/>
  <cols>
    <col min="1" max="1" width="10.140625" style="13" customWidth="1"/>
    <col min="2" max="2" width="11" style="8" customWidth="1"/>
    <col min="3" max="12" width="8.7109375" style="8" customWidth="1"/>
    <col min="13" max="13" width="8.7109375" style="14" customWidth="1"/>
    <col min="14" max="14" width="8.7109375" style="54" customWidth="1"/>
    <col min="15" max="15" width="8.7109375" style="42" customWidth="1"/>
    <col min="16" max="16" width="10.7109375" style="42" customWidth="1"/>
    <col min="17" max="27" width="8.7109375" style="42" customWidth="1"/>
    <col min="28" max="28" width="8.7109375" style="55" customWidth="1"/>
    <col min="29" max="16384" width="8.7109375" hidden="1"/>
  </cols>
  <sheetData>
    <row r="1" spans="1:28" ht="29.25" thickBot="1" x14ac:dyDescent="0.5">
      <c r="A1" s="138" t="s">
        <v>49</v>
      </c>
      <c r="B1" s="139"/>
      <c r="C1" s="139"/>
      <c r="D1" s="139"/>
      <c r="E1" s="139"/>
      <c r="F1" s="139"/>
      <c r="G1" s="139"/>
      <c r="H1" s="139"/>
      <c r="I1" s="139"/>
      <c r="J1" s="139"/>
      <c r="K1" s="139"/>
      <c r="L1" s="139"/>
      <c r="M1" s="142"/>
      <c r="N1" s="136" t="s">
        <v>49</v>
      </c>
      <c r="O1" s="137"/>
      <c r="P1" s="137"/>
      <c r="Q1" s="137"/>
      <c r="R1" s="137"/>
      <c r="S1" s="137"/>
      <c r="T1" s="137"/>
      <c r="U1" s="137"/>
      <c r="V1" s="137"/>
      <c r="W1" s="137"/>
      <c r="X1" s="137"/>
      <c r="Y1" s="137"/>
      <c r="Z1" s="137"/>
      <c r="AA1" s="137"/>
      <c r="AB1" s="140"/>
    </row>
    <row r="4" spans="1:28" x14ac:dyDescent="0.25">
      <c r="A4" s="15" t="s">
        <v>34</v>
      </c>
      <c r="P4" s="41" t="s">
        <v>34</v>
      </c>
    </row>
    <row r="5" spans="1:28" ht="25.5" x14ac:dyDescent="0.25">
      <c r="A5" s="26" t="s">
        <v>29</v>
      </c>
      <c r="B5" s="21" t="s">
        <v>16</v>
      </c>
      <c r="C5" s="29" t="s">
        <v>0</v>
      </c>
      <c r="D5" s="3" t="s">
        <v>17</v>
      </c>
      <c r="P5" s="43" t="s">
        <v>29</v>
      </c>
      <c r="Q5" s="43" t="s">
        <v>16</v>
      </c>
      <c r="R5" s="43" t="s">
        <v>0</v>
      </c>
      <c r="S5" s="43" t="s">
        <v>17</v>
      </c>
    </row>
    <row r="6" spans="1:28" x14ac:dyDescent="0.25">
      <c r="A6" s="32">
        <v>1</v>
      </c>
      <c r="B6" s="30">
        <v>3900515861</v>
      </c>
      <c r="C6" s="5">
        <v>378576</v>
      </c>
      <c r="D6" s="6">
        <f>B6/SUM($B$6:$B$8)</f>
        <v>0.61815576659270099</v>
      </c>
      <c r="P6" s="45">
        <v>1</v>
      </c>
      <c r="Q6" s="45">
        <v>5056143332</v>
      </c>
      <c r="R6" s="45">
        <v>490358</v>
      </c>
      <c r="S6" s="46">
        <f>Q6/SUM($Q$6:$Q$8)</f>
        <v>0.5816338165459064</v>
      </c>
    </row>
    <row r="7" spans="1:28" x14ac:dyDescent="0.25">
      <c r="A7" s="32">
        <v>2</v>
      </c>
      <c r="B7" s="30">
        <v>1750466336</v>
      </c>
      <c r="C7" s="5">
        <v>185691</v>
      </c>
      <c r="D7" s="6">
        <f>B7/SUM($B$6:$B$8)</f>
        <v>0.27741480829342963</v>
      </c>
      <c r="P7" s="45">
        <v>2</v>
      </c>
      <c r="Q7" s="45">
        <v>2612575002</v>
      </c>
      <c r="R7" s="45">
        <v>267190</v>
      </c>
      <c r="S7" s="46">
        <f t="shared" ref="S7:S8" si="0">Q7/SUM($Q$6:$Q$8)</f>
        <v>0.30053775568593571</v>
      </c>
    </row>
    <row r="8" spans="1:28" x14ac:dyDescent="0.25">
      <c r="A8" s="32">
        <v>3</v>
      </c>
      <c r="B8" s="30">
        <v>658941728</v>
      </c>
      <c r="C8" s="5">
        <v>78892</v>
      </c>
      <c r="D8" s="6">
        <f>B8/SUM($B$6:$B$8)</f>
        <v>0.10442942511386934</v>
      </c>
      <c r="P8" s="45">
        <v>3</v>
      </c>
      <c r="Q8" s="45">
        <v>1024282637</v>
      </c>
      <c r="R8" s="45">
        <v>114862</v>
      </c>
      <c r="S8" s="46">
        <f t="shared" si="0"/>
        <v>0.1178284277681579</v>
      </c>
    </row>
    <row r="11" spans="1:28" x14ac:dyDescent="0.25">
      <c r="A11" s="15" t="s">
        <v>35</v>
      </c>
      <c r="P11" s="41" t="s">
        <v>35</v>
      </c>
    </row>
    <row r="12" spans="1:28" ht="45" x14ac:dyDescent="0.25">
      <c r="A12" s="33" t="s">
        <v>29</v>
      </c>
      <c r="B12" s="2" t="s">
        <v>24</v>
      </c>
      <c r="C12" s="2" t="s">
        <v>25</v>
      </c>
      <c r="P12" s="52" t="s">
        <v>29</v>
      </c>
      <c r="Q12" s="43" t="s">
        <v>24</v>
      </c>
      <c r="R12" s="43" t="s">
        <v>25</v>
      </c>
    </row>
    <row r="13" spans="1:28" x14ac:dyDescent="0.25">
      <c r="A13" s="24">
        <v>1</v>
      </c>
      <c r="B13" s="12">
        <v>0.68078346061343875</v>
      </c>
      <c r="C13" s="6">
        <v>0.49704200591978781</v>
      </c>
      <c r="P13" s="44">
        <v>1</v>
      </c>
      <c r="Q13" s="53">
        <v>0.63133855668484851</v>
      </c>
      <c r="R13" s="46">
        <v>0.47193796123272519</v>
      </c>
    </row>
    <row r="14" spans="1:28" x14ac:dyDescent="0.25">
      <c r="A14" s="24">
        <v>2</v>
      </c>
      <c r="B14" s="12">
        <v>0.24129902182507779</v>
      </c>
      <c r="C14" s="6">
        <v>0.34725801084522101</v>
      </c>
      <c r="P14" s="44">
        <v>2</v>
      </c>
      <c r="Q14" s="53">
        <v>0.269920950768262</v>
      </c>
      <c r="R14" s="46">
        <v>0.36810750040269202</v>
      </c>
    </row>
    <row r="15" spans="1:28" x14ac:dyDescent="0.25">
      <c r="A15" s="24">
        <v>3</v>
      </c>
      <c r="B15" s="12">
        <v>7.7917517561483421E-2</v>
      </c>
      <c r="C15" s="6">
        <v>0.15569998323499115</v>
      </c>
      <c r="P15" s="44">
        <v>3</v>
      </c>
      <c r="Q15" s="53">
        <v>9.874049254688945E-2</v>
      </c>
      <c r="R15" s="46">
        <v>0.15995453836458282</v>
      </c>
    </row>
    <row r="18" spans="1:26" x14ac:dyDescent="0.25">
      <c r="A18" s="15" t="s">
        <v>36</v>
      </c>
      <c r="P18" s="41" t="s">
        <v>36</v>
      </c>
      <c r="Q18" s="41"/>
      <c r="R18" s="41"/>
      <c r="S18" s="41"/>
      <c r="T18" s="41"/>
      <c r="U18" s="41"/>
      <c r="V18" s="41"/>
      <c r="W18" s="41"/>
      <c r="X18" s="41"/>
      <c r="Y18" s="41"/>
      <c r="Z18" s="41"/>
    </row>
    <row r="19" spans="1:26" ht="29.1" customHeight="1" x14ac:dyDescent="0.25">
      <c r="A19" s="143" t="s">
        <v>29</v>
      </c>
      <c r="B19" s="141" t="s">
        <v>48</v>
      </c>
      <c r="C19" s="141"/>
      <c r="D19" s="141"/>
      <c r="E19" s="141"/>
      <c r="F19" s="141"/>
      <c r="G19" s="141"/>
      <c r="H19" s="141"/>
      <c r="I19" s="141"/>
      <c r="J19" s="141"/>
      <c r="K19" s="141"/>
      <c r="P19" s="146" t="s">
        <v>29</v>
      </c>
      <c r="Q19" s="145" t="s">
        <v>48</v>
      </c>
      <c r="R19" s="145"/>
      <c r="S19" s="145"/>
      <c r="T19" s="145"/>
      <c r="U19" s="145"/>
      <c r="V19" s="145"/>
      <c r="W19" s="145"/>
      <c r="X19" s="145"/>
      <c r="Y19" s="145"/>
      <c r="Z19" s="145"/>
    </row>
    <row r="20" spans="1:26" ht="12.95" customHeight="1" x14ac:dyDescent="0.25">
      <c r="A20" s="144"/>
      <c r="B20" s="2">
        <v>1</v>
      </c>
      <c r="C20" s="2">
        <v>2</v>
      </c>
      <c r="D20" s="2">
        <v>3</v>
      </c>
      <c r="E20" s="2">
        <v>4</v>
      </c>
      <c r="F20" s="2">
        <v>5</v>
      </c>
      <c r="G20" s="2">
        <v>6</v>
      </c>
      <c r="H20" s="2">
        <v>7</v>
      </c>
      <c r="I20" s="2">
        <v>8</v>
      </c>
      <c r="J20" s="2">
        <v>9</v>
      </c>
      <c r="K20" s="2">
        <v>10</v>
      </c>
      <c r="P20" s="146"/>
      <c r="Q20" s="43">
        <v>1</v>
      </c>
      <c r="R20" s="43">
        <v>2</v>
      </c>
      <c r="S20" s="43">
        <v>3</v>
      </c>
      <c r="T20" s="43">
        <v>4</v>
      </c>
      <c r="U20" s="43">
        <v>5</v>
      </c>
      <c r="V20" s="43">
        <v>6</v>
      </c>
      <c r="W20" s="43">
        <v>7</v>
      </c>
      <c r="X20" s="43">
        <v>8</v>
      </c>
      <c r="Y20" s="43">
        <v>9</v>
      </c>
      <c r="Z20" s="43">
        <v>10</v>
      </c>
    </row>
    <row r="21" spans="1:26" x14ac:dyDescent="0.25">
      <c r="A21" s="24">
        <v>1</v>
      </c>
      <c r="B21" s="6">
        <v>0.77888991759338189</v>
      </c>
      <c r="C21" s="6">
        <v>0.75084169403192025</v>
      </c>
      <c r="D21" s="6">
        <v>0.73505643491752559</v>
      </c>
      <c r="E21" s="6">
        <v>0.72407038243949751</v>
      </c>
      <c r="F21" s="6">
        <v>0.70066739964054248</v>
      </c>
      <c r="G21" s="6">
        <v>0.70054801739052919</v>
      </c>
      <c r="H21" s="6">
        <v>0.65659760124173794</v>
      </c>
      <c r="I21" s="6">
        <v>0.66700616653008826</v>
      </c>
      <c r="J21" s="6">
        <v>0.6469016700188831</v>
      </c>
      <c r="K21" s="6">
        <v>0.63366862571138793</v>
      </c>
      <c r="P21" s="43">
        <v>1</v>
      </c>
      <c r="Q21" s="46">
        <v>0.71034892057666976</v>
      </c>
      <c r="R21" s="46">
        <v>0.68485004839653352</v>
      </c>
      <c r="S21" s="46">
        <v>0.64957794607150099</v>
      </c>
      <c r="T21" s="46">
        <v>0.63316283097438208</v>
      </c>
      <c r="U21" s="46">
        <v>0.64219215611854619</v>
      </c>
      <c r="V21" s="46">
        <v>0.62590164235611301</v>
      </c>
      <c r="W21" s="46">
        <v>0.6282877596230817</v>
      </c>
      <c r="X21" s="46">
        <v>0.62201133772496064</v>
      </c>
      <c r="Y21" s="46">
        <v>0.61887732027304376</v>
      </c>
      <c r="Z21" s="46">
        <v>0.60584838770470795</v>
      </c>
    </row>
    <row r="22" spans="1:26" x14ac:dyDescent="0.25">
      <c r="A22" s="24">
        <v>2</v>
      </c>
      <c r="B22" s="6">
        <v>0.16982105523340535</v>
      </c>
      <c r="C22" s="6">
        <v>0.18930942269553441</v>
      </c>
      <c r="D22" s="6">
        <v>0.20107666221206216</v>
      </c>
      <c r="E22" s="6">
        <v>0.20104833321339999</v>
      </c>
      <c r="F22" s="6">
        <v>0.22687660174083193</v>
      </c>
      <c r="G22" s="6">
        <v>0.22381398038612119</v>
      </c>
      <c r="H22" s="6">
        <v>0.25111854884529528</v>
      </c>
      <c r="I22" s="6">
        <v>0.26038177345605268</v>
      </c>
      <c r="J22" s="6">
        <v>0.27019144464502831</v>
      </c>
      <c r="K22" s="6">
        <v>0.2767253599128035</v>
      </c>
      <c r="P22" s="43">
        <v>2</v>
      </c>
      <c r="Q22" s="46">
        <v>0.18870624257388141</v>
      </c>
      <c r="R22" s="46">
        <v>0.21368738521219416</v>
      </c>
      <c r="S22" s="46">
        <v>0.24263560717378835</v>
      </c>
      <c r="T22" s="46">
        <v>0.25447767608264305</v>
      </c>
      <c r="U22" s="46">
        <v>0.25492122550709378</v>
      </c>
      <c r="V22" s="46">
        <v>0.27895306478451937</v>
      </c>
      <c r="W22" s="46">
        <v>0.27634259069085537</v>
      </c>
      <c r="X22" s="46">
        <v>0.28608161113096492</v>
      </c>
      <c r="Y22" s="46">
        <v>0.29156080811588814</v>
      </c>
      <c r="Z22" s="46">
        <v>0.29179413104353347</v>
      </c>
    </row>
    <row r="23" spans="1:26" x14ac:dyDescent="0.25">
      <c r="A23" s="24">
        <v>3</v>
      </c>
      <c r="B23" s="6">
        <v>5.1289027173212771E-2</v>
      </c>
      <c r="C23" s="6">
        <v>5.9848883272545311E-2</v>
      </c>
      <c r="D23" s="6">
        <v>6.3866902870412204E-2</v>
      </c>
      <c r="E23" s="6">
        <v>7.4881284347102464E-2</v>
      </c>
      <c r="F23" s="6">
        <v>7.2455998618625603E-2</v>
      </c>
      <c r="G23" s="6">
        <v>7.563800222334964E-2</v>
      </c>
      <c r="H23" s="6">
        <v>9.2283849912966801E-2</v>
      </c>
      <c r="I23" s="6">
        <v>7.2612060013859031E-2</v>
      </c>
      <c r="J23" s="6">
        <v>8.2906885336088559E-2</v>
      </c>
      <c r="K23" s="6">
        <v>8.9606014375808646E-2</v>
      </c>
      <c r="P23" s="43">
        <v>3</v>
      </c>
      <c r="Q23" s="46">
        <v>0.10094483684944884</v>
      </c>
      <c r="R23" s="46">
        <v>0.10146256639127235</v>
      </c>
      <c r="S23" s="46">
        <v>0.10778644675471069</v>
      </c>
      <c r="T23" s="46">
        <v>0.1123594929429749</v>
      </c>
      <c r="U23" s="46">
        <v>0.10288661837436001</v>
      </c>
      <c r="V23" s="46">
        <v>9.5145292859367639E-2</v>
      </c>
      <c r="W23" s="46">
        <v>9.5369649686062916E-2</v>
      </c>
      <c r="X23" s="46">
        <v>9.1907051144074464E-2</v>
      </c>
      <c r="Y23" s="46">
        <v>8.9561871611068142E-2</v>
      </c>
      <c r="Z23" s="46">
        <v>0.10235748125175866</v>
      </c>
    </row>
    <row r="26" spans="1:26" x14ac:dyDescent="0.25">
      <c r="A26" s="15" t="s">
        <v>37</v>
      </c>
      <c r="P26" s="41" t="s">
        <v>37</v>
      </c>
      <c r="Q26" s="41"/>
      <c r="R26" s="41"/>
      <c r="S26" s="41"/>
      <c r="T26" s="41"/>
      <c r="U26" s="41"/>
      <c r="V26" s="41"/>
      <c r="W26" s="41"/>
      <c r="X26" s="41"/>
      <c r="Y26" s="41"/>
      <c r="Z26" s="41"/>
    </row>
    <row r="27" spans="1:26" ht="29.1" customHeight="1" x14ac:dyDescent="0.25">
      <c r="A27" s="143" t="s">
        <v>29</v>
      </c>
      <c r="B27" s="141" t="s">
        <v>48</v>
      </c>
      <c r="C27" s="141"/>
      <c r="D27" s="141"/>
      <c r="E27" s="141"/>
      <c r="F27" s="141"/>
      <c r="G27" s="141"/>
      <c r="H27" s="141"/>
      <c r="I27" s="141"/>
      <c r="J27" s="141"/>
      <c r="K27" s="141"/>
      <c r="P27" s="146" t="s">
        <v>29</v>
      </c>
      <c r="Q27" s="145" t="s">
        <v>48</v>
      </c>
      <c r="R27" s="145"/>
      <c r="S27" s="145"/>
      <c r="T27" s="145"/>
      <c r="U27" s="145"/>
      <c r="V27" s="145"/>
      <c r="W27" s="145"/>
      <c r="X27" s="145"/>
      <c r="Y27" s="145"/>
      <c r="Z27" s="145"/>
    </row>
    <row r="28" spans="1:26" x14ac:dyDescent="0.25">
      <c r="A28" s="144"/>
      <c r="B28" s="2">
        <v>1</v>
      </c>
      <c r="C28" s="2">
        <v>2</v>
      </c>
      <c r="D28" s="2">
        <v>3</v>
      </c>
      <c r="E28" s="2">
        <v>4</v>
      </c>
      <c r="F28" s="2">
        <v>5</v>
      </c>
      <c r="G28" s="2">
        <v>6</v>
      </c>
      <c r="H28" s="2">
        <v>7</v>
      </c>
      <c r="I28" s="2">
        <v>8</v>
      </c>
      <c r="J28" s="2">
        <v>9</v>
      </c>
      <c r="K28" s="2">
        <v>10</v>
      </c>
      <c r="P28" s="146"/>
      <c r="Q28" s="43">
        <v>1</v>
      </c>
      <c r="R28" s="43">
        <v>2</v>
      </c>
      <c r="S28" s="43">
        <v>3</v>
      </c>
      <c r="T28" s="43">
        <v>4</v>
      </c>
      <c r="U28" s="43">
        <v>5</v>
      </c>
      <c r="V28" s="43">
        <v>6</v>
      </c>
      <c r="W28" s="43">
        <v>7</v>
      </c>
      <c r="X28" s="43">
        <v>8</v>
      </c>
      <c r="Y28" s="43">
        <v>9</v>
      </c>
      <c r="Z28" s="43">
        <v>10</v>
      </c>
    </row>
    <row r="29" spans="1:26" x14ac:dyDescent="0.25">
      <c r="A29" s="24">
        <v>1</v>
      </c>
      <c r="B29" s="6">
        <v>0.49235851053045088</v>
      </c>
      <c r="C29" s="6">
        <v>0.47426763426453122</v>
      </c>
      <c r="D29" s="6">
        <v>0.50535389366177974</v>
      </c>
      <c r="E29" s="6">
        <v>0.49951486053794336</v>
      </c>
      <c r="F29" s="6">
        <v>0.49167904713054966</v>
      </c>
      <c r="G29" s="6">
        <v>0.48556984783595775</v>
      </c>
      <c r="H29" s="6">
        <v>0.48478268409085845</v>
      </c>
      <c r="I29" s="6">
        <v>0.49642910744631502</v>
      </c>
      <c r="J29" s="6">
        <v>0.51669491240545129</v>
      </c>
      <c r="K29" s="6">
        <v>0.5165605821538567</v>
      </c>
      <c r="P29" s="43">
        <v>1</v>
      </c>
      <c r="Q29" s="46">
        <v>0.46519754152913112</v>
      </c>
      <c r="R29" s="46">
        <v>0.43398787528230015</v>
      </c>
      <c r="S29" s="46">
        <v>0.45011397280455973</v>
      </c>
      <c r="T29" s="46">
        <v>0.46395361959034281</v>
      </c>
      <c r="U29" s="46">
        <v>0.47528739706461498</v>
      </c>
      <c r="V29" s="46">
        <v>0.46012462751567085</v>
      </c>
      <c r="W29" s="46">
        <v>0.49354288884689729</v>
      </c>
      <c r="X29" s="46">
        <v>0.48932442848520158</v>
      </c>
      <c r="Y29" s="46">
        <v>0.50524579303538242</v>
      </c>
      <c r="Z29" s="46">
        <v>0.4810634587675417</v>
      </c>
    </row>
    <row r="30" spans="1:26" x14ac:dyDescent="0.25">
      <c r="A30" s="24">
        <v>2</v>
      </c>
      <c r="B30" s="6">
        <v>0.33376395189700181</v>
      </c>
      <c r="C30" s="6">
        <v>0.34545233476833381</v>
      </c>
      <c r="D30" s="6">
        <v>0.32577076101654179</v>
      </c>
      <c r="E30" s="6">
        <v>0.33917491224392576</v>
      </c>
      <c r="F30" s="6">
        <v>0.35769332131309284</v>
      </c>
      <c r="G30" s="6">
        <v>0.35847213445723008</v>
      </c>
      <c r="H30" s="6">
        <v>0.35577190094834965</v>
      </c>
      <c r="I30" s="6">
        <v>0.34805633382213907</v>
      </c>
      <c r="J30" s="6">
        <v>0.35061757627068935</v>
      </c>
      <c r="K30" s="6">
        <v>0.351034632754676</v>
      </c>
      <c r="P30" s="43">
        <v>2</v>
      </c>
      <c r="Q30" s="46">
        <v>0.32818609006474442</v>
      </c>
      <c r="R30" s="46">
        <v>0.38063161879831819</v>
      </c>
      <c r="S30" s="46">
        <v>0.37106967377816563</v>
      </c>
      <c r="T30" s="46">
        <v>0.36893981166196277</v>
      </c>
      <c r="U30" s="46">
        <v>0.37220591438912254</v>
      </c>
      <c r="V30" s="46">
        <v>0.39190617702621705</v>
      </c>
      <c r="W30" s="46">
        <v>0.35987656645536947</v>
      </c>
      <c r="X30" s="46">
        <v>0.38575988788536736</v>
      </c>
      <c r="Y30" s="46">
        <v>0.34528913560058672</v>
      </c>
      <c r="Z30" s="46">
        <v>0.36962414885104078</v>
      </c>
    </row>
    <row r="31" spans="1:26" x14ac:dyDescent="0.25">
      <c r="A31" s="24">
        <v>3</v>
      </c>
      <c r="B31" s="6">
        <v>0.17387753757254734</v>
      </c>
      <c r="C31" s="6">
        <v>0.18028003096713496</v>
      </c>
      <c r="D31" s="6">
        <v>0.16887534532167847</v>
      </c>
      <c r="E31" s="6">
        <v>0.16131022721813087</v>
      </c>
      <c r="F31" s="6">
        <v>0.15062763155635747</v>
      </c>
      <c r="G31" s="6">
        <v>0.15595801770681217</v>
      </c>
      <c r="H31" s="6">
        <v>0.15944541496079187</v>
      </c>
      <c r="I31" s="6">
        <v>0.15551455873154588</v>
      </c>
      <c r="J31" s="6">
        <v>0.13268751132385934</v>
      </c>
      <c r="K31" s="6">
        <v>0.1324047850914673</v>
      </c>
      <c r="P31" s="43">
        <v>3</v>
      </c>
      <c r="Q31" s="46">
        <v>0.20661636840612449</v>
      </c>
      <c r="R31" s="46">
        <v>0.18538050591938163</v>
      </c>
      <c r="S31" s="46">
        <v>0.17881635341727461</v>
      </c>
      <c r="T31" s="46">
        <v>0.16710656874769442</v>
      </c>
      <c r="U31" s="46">
        <v>0.15250668854626248</v>
      </c>
      <c r="V31" s="46">
        <v>0.1479691954581121</v>
      </c>
      <c r="W31" s="46">
        <v>0.14658054469773327</v>
      </c>
      <c r="X31" s="46">
        <v>0.12491568362943106</v>
      </c>
      <c r="Y31" s="46">
        <v>0.14946507136403089</v>
      </c>
      <c r="Z31" s="46">
        <v>0.14931239238141752</v>
      </c>
    </row>
  </sheetData>
  <mergeCells count="10">
    <mergeCell ref="N1:AB1"/>
    <mergeCell ref="B27:K27"/>
    <mergeCell ref="B19:K19"/>
    <mergeCell ref="A1:M1"/>
    <mergeCell ref="A19:A20"/>
    <mergeCell ref="A27:A28"/>
    <mergeCell ref="Q19:Z19"/>
    <mergeCell ref="P19:P20"/>
    <mergeCell ref="P27:P28"/>
    <mergeCell ref="Q27:Z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95"/>
  <sheetViews>
    <sheetView topLeftCell="A10" zoomScale="68" workbookViewId="0">
      <selection activeCell="U7" sqref="U7"/>
    </sheetView>
    <sheetView workbookViewId="1">
      <selection activeCell="E15" sqref="E15"/>
    </sheetView>
    <sheetView workbookViewId="2">
      <selection sqref="A1:O1"/>
    </sheetView>
  </sheetViews>
  <sheetFormatPr defaultColWidth="0" defaultRowHeight="15" x14ac:dyDescent="0.25"/>
  <cols>
    <col min="1" max="1" width="24.5703125" style="13" customWidth="1"/>
    <col min="2" max="6" width="12.28515625" style="8" customWidth="1"/>
    <col min="7" max="7" width="13.140625" style="8" customWidth="1"/>
    <col min="8" max="8" width="20.28515625" style="8" bestFit="1" customWidth="1"/>
    <col min="9" max="9" width="13.28515625" style="8" customWidth="1"/>
    <col min="10" max="11" width="13.140625" style="8" customWidth="1"/>
    <col min="12" max="14" width="8.7109375" style="8" customWidth="1"/>
    <col min="15" max="15" width="8.7109375" style="14" customWidth="1"/>
    <col min="16" max="16" width="8.7109375" style="54" customWidth="1"/>
    <col min="17" max="17" width="8.7109375" style="42" customWidth="1"/>
    <col min="18" max="18" width="22.140625" style="42" customWidth="1"/>
    <col min="19" max="24" width="12.28515625" style="42" customWidth="1"/>
    <col min="25" max="25" width="20.28515625" style="42" bestFit="1" customWidth="1"/>
    <col min="26" max="26" width="14.28515625" style="42" customWidth="1"/>
    <col min="27" max="28" width="12.85546875" style="42" customWidth="1"/>
    <col min="29" max="30" width="8.7109375" style="42" customWidth="1"/>
    <col min="31" max="31" width="8.7109375" style="55" customWidth="1"/>
    <col min="32" max="16384" width="8.7109375" hidden="1"/>
  </cols>
  <sheetData>
    <row r="1" spans="1:31" ht="29.25" thickBot="1" x14ac:dyDescent="0.5">
      <c r="A1" s="138" t="s">
        <v>49</v>
      </c>
      <c r="B1" s="139"/>
      <c r="C1" s="139"/>
      <c r="D1" s="139"/>
      <c r="E1" s="139"/>
      <c r="F1" s="139"/>
      <c r="G1" s="139"/>
      <c r="H1" s="139"/>
      <c r="I1" s="139"/>
      <c r="J1" s="139"/>
      <c r="K1" s="139"/>
      <c r="L1" s="139"/>
      <c r="M1" s="139"/>
      <c r="N1" s="139"/>
      <c r="O1" s="142"/>
      <c r="P1" s="136" t="s">
        <v>50</v>
      </c>
      <c r="Q1" s="137"/>
      <c r="R1" s="137"/>
      <c r="S1" s="137"/>
      <c r="T1" s="137"/>
      <c r="U1" s="137"/>
      <c r="V1" s="137"/>
      <c r="W1" s="137"/>
      <c r="X1" s="137"/>
      <c r="Y1" s="137"/>
      <c r="Z1" s="137"/>
      <c r="AA1" s="137"/>
      <c r="AB1" s="137"/>
      <c r="AC1" s="137"/>
      <c r="AD1" s="137"/>
      <c r="AE1" s="140"/>
    </row>
    <row r="4" spans="1:31" x14ac:dyDescent="0.25">
      <c r="A4" s="15" t="s">
        <v>40</v>
      </c>
      <c r="R4" s="41" t="s">
        <v>40</v>
      </c>
    </row>
    <row r="5" spans="1:31" x14ac:dyDescent="0.25">
      <c r="A5" s="16" t="s">
        <v>31</v>
      </c>
      <c r="B5" s="2" t="s">
        <v>32</v>
      </c>
      <c r="C5" s="2" t="s">
        <v>41</v>
      </c>
      <c r="R5" s="43" t="s">
        <v>31</v>
      </c>
      <c r="S5" s="43" t="s">
        <v>32</v>
      </c>
      <c r="T5" s="43" t="s">
        <v>41</v>
      </c>
    </row>
    <row r="6" spans="1:31" x14ac:dyDescent="0.25">
      <c r="A6" s="18" t="s">
        <v>45</v>
      </c>
      <c r="B6" s="9" t="s">
        <v>47</v>
      </c>
      <c r="C6" s="34">
        <v>1.4733149999999999</v>
      </c>
      <c r="R6" s="45" t="s">
        <v>45</v>
      </c>
      <c r="S6" s="45" t="s">
        <v>47</v>
      </c>
      <c r="T6" s="56">
        <v>1.5981240000000001</v>
      </c>
    </row>
    <row r="7" spans="1:31" x14ac:dyDescent="0.25">
      <c r="A7" s="18" t="s">
        <v>46</v>
      </c>
      <c r="B7" s="9" t="s">
        <v>33</v>
      </c>
      <c r="C7" s="34">
        <v>117.535183</v>
      </c>
      <c r="F7" s="71" t="s">
        <v>103</v>
      </c>
      <c r="R7" s="45" t="s">
        <v>46</v>
      </c>
      <c r="S7" s="45" t="s">
        <v>33</v>
      </c>
      <c r="T7" s="56">
        <v>106.07063599999999</v>
      </c>
    </row>
    <row r="8" spans="1:31" ht="32.1" customHeight="1" x14ac:dyDescent="0.25">
      <c r="A8" s="69" t="s">
        <v>98</v>
      </c>
      <c r="B8" s="9" t="s">
        <v>99</v>
      </c>
      <c r="C8" s="34">
        <f>C7/(C6*$G$9*$H$9)</f>
        <v>2.5569231978782887</v>
      </c>
      <c r="F8" s="70"/>
      <c r="G8" s="72" t="s">
        <v>101</v>
      </c>
      <c r="H8" s="72" t="s">
        <v>102</v>
      </c>
      <c r="R8" s="68" t="s">
        <v>98</v>
      </c>
      <c r="S8" s="45" t="s">
        <v>99</v>
      </c>
      <c r="T8" s="56">
        <f>T7/(T6*$G$9*$H$9)</f>
        <v>2.1273066869622577</v>
      </c>
    </row>
    <row r="9" spans="1:31" x14ac:dyDescent="0.25">
      <c r="A9" s="18" t="s">
        <v>51</v>
      </c>
      <c r="B9" s="9" t="s">
        <v>47</v>
      </c>
      <c r="C9" s="34">
        <v>11.037265</v>
      </c>
      <c r="F9" s="70" t="s">
        <v>1</v>
      </c>
      <c r="G9" s="70">
        <v>48</v>
      </c>
      <c r="H9" s="70">
        <v>0.65</v>
      </c>
      <c r="R9" s="45" t="s">
        <v>51</v>
      </c>
      <c r="S9" s="45" t="s">
        <v>47</v>
      </c>
      <c r="T9" s="56">
        <v>9.9373509999999996</v>
      </c>
    </row>
    <row r="10" spans="1:31" x14ac:dyDescent="0.25">
      <c r="A10" s="18" t="s">
        <v>52</v>
      </c>
      <c r="B10" s="9" t="s">
        <v>33</v>
      </c>
      <c r="C10" s="34">
        <v>51.85</v>
      </c>
      <c r="D10" s="63"/>
      <c r="F10" s="70" t="s">
        <v>55</v>
      </c>
      <c r="G10" s="70">
        <v>16</v>
      </c>
      <c r="H10" s="70">
        <v>0.15</v>
      </c>
      <c r="R10" s="45" t="s">
        <v>52</v>
      </c>
      <c r="S10" s="45" t="s">
        <v>33</v>
      </c>
      <c r="T10" s="56">
        <v>46.950929000000002</v>
      </c>
      <c r="U10" s="64"/>
    </row>
    <row r="11" spans="1:31" x14ac:dyDescent="0.25">
      <c r="A11" s="9" t="s">
        <v>53</v>
      </c>
      <c r="B11" s="9" t="s">
        <v>47</v>
      </c>
      <c r="C11" s="34">
        <v>7.6779460000000004</v>
      </c>
      <c r="D11" s="63"/>
      <c r="R11" s="45" t="s">
        <v>53</v>
      </c>
      <c r="S11" s="45" t="s">
        <v>47</v>
      </c>
      <c r="T11" s="56">
        <v>6.9656580000000003</v>
      </c>
      <c r="U11" s="64"/>
    </row>
    <row r="12" spans="1:31" x14ac:dyDescent="0.25">
      <c r="A12" s="9" t="s">
        <v>54</v>
      </c>
      <c r="B12" s="9" t="s">
        <v>33</v>
      </c>
      <c r="C12" s="34">
        <v>36.449998999999998</v>
      </c>
      <c r="D12" s="63"/>
      <c r="R12" s="45" t="s">
        <v>54</v>
      </c>
      <c r="S12" s="45" t="s">
        <v>33</v>
      </c>
      <c r="T12" s="56">
        <v>33.798831999999997</v>
      </c>
      <c r="U12" s="64">
        <f>T12/T11</f>
        <v>4.8522095112909644</v>
      </c>
    </row>
    <row r="13" spans="1:31" x14ac:dyDescent="0.25">
      <c r="A13" s="99" t="s">
        <v>133</v>
      </c>
      <c r="B13" s="100" t="s">
        <v>134</v>
      </c>
      <c r="C13" s="6">
        <f>C11/C9</f>
        <v>0.69563845753454323</v>
      </c>
      <c r="D13" s="63"/>
      <c r="R13" s="45" t="s">
        <v>133</v>
      </c>
      <c r="S13" s="101" t="s">
        <v>134</v>
      </c>
      <c r="T13" s="46">
        <f>T11/T9</f>
        <v>0.70095722693100004</v>
      </c>
      <c r="U13" s="64"/>
    </row>
    <row r="14" spans="1:31" x14ac:dyDescent="0.25">
      <c r="A14" s="99" t="s">
        <v>132</v>
      </c>
      <c r="B14" s="100" t="s">
        <v>134</v>
      </c>
      <c r="C14" s="6">
        <f>C12/C10</f>
        <v>0.70298937319189969</v>
      </c>
      <c r="D14" s="63"/>
      <c r="R14" s="45" t="s">
        <v>132</v>
      </c>
      <c r="S14" s="101" t="s">
        <v>134</v>
      </c>
      <c r="T14" s="46">
        <f>T12/T10</f>
        <v>0.7198756812671373</v>
      </c>
      <c r="U14" s="64"/>
    </row>
    <row r="15" spans="1:31" ht="36.6" customHeight="1" x14ac:dyDescent="0.25">
      <c r="A15" s="69" t="s">
        <v>104</v>
      </c>
      <c r="B15" s="9" t="s">
        <v>99</v>
      </c>
      <c r="C15" s="34">
        <f>C12/(C11*$G$10*$H$10)</f>
        <v>1.9780680384224285</v>
      </c>
      <c r="D15" s="63"/>
      <c r="R15" s="68" t="s">
        <v>104</v>
      </c>
      <c r="S15" s="45" t="s">
        <v>99</v>
      </c>
      <c r="T15" s="56">
        <f>T12/(T11*$G$10*$H$10)</f>
        <v>2.0217539630379018</v>
      </c>
      <c r="U15" s="64"/>
    </row>
    <row r="16" spans="1:31" x14ac:dyDescent="0.25">
      <c r="A16" s="15"/>
    </row>
    <row r="17" spans="1:29" x14ac:dyDescent="0.25">
      <c r="A17" s="15"/>
    </row>
    <row r="18" spans="1:29" x14ac:dyDescent="0.25">
      <c r="A18" s="15" t="s">
        <v>42</v>
      </c>
      <c r="R18" s="41" t="s">
        <v>42</v>
      </c>
      <c r="S18" s="41"/>
      <c r="T18" s="41"/>
    </row>
    <row r="19" spans="1:29" x14ac:dyDescent="0.25">
      <c r="A19" s="15"/>
      <c r="C19" s="147" t="s">
        <v>41</v>
      </c>
      <c r="D19" s="147"/>
      <c r="R19" s="41"/>
      <c r="S19" s="41"/>
      <c r="T19" s="41" t="s">
        <v>41</v>
      </c>
      <c r="AA19" s="36"/>
      <c r="AB19" s="36"/>
      <c r="AC19" s="36"/>
    </row>
    <row r="20" spans="1:29" x14ac:dyDescent="0.25">
      <c r="A20" s="16" t="s">
        <v>31</v>
      </c>
      <c r="B20" s="2" t="s">
        <v>32</v>
      </c>
      <c r="C20" s="2" t="s">
        <v>24</v>
      </c>
      <c r="D20" s="2" t="s">
        <v>25</v>
      </c>
      <c r="H20" s="1"/>
      <c r="I20" s="1"/>
      <c r="J20" s="1"/>
      <c r="R20" s="43" t="s">
        <v>31</v>
      </c>
      <c r="S20" s="43" t="s">
        <v>32</v>
      </c>
      <c r="T20" s="43" t="s">
        <v>24</v>
      </c>
      <c r="U20" s="43" t="s">
        <v>25</v>
      </c>
      <c r="AA20" s="36"/>
      <c r="AB20" s="36"/>
      <c r="AC20" s="36"/>
    </row>
    <row r="21" spans="1:29" x14ac:dyDescent="0.25">
      <c r="A21" s="18" t="s">
        <v>45</v>
      </c>
      <c r="B21" s="9" t="s">
        <v>47</v>
      </c>
      <c r="C21" s="34">
        <v>1.1271549999999999</v>
      </c>
      <c r="D21" s="34">
        <v>2.3484389999999999</v>
      </c>
      <c r="H21" s="1"/>
      <c r="I21" s="1"/>
      <c r="J21" s="1"/>
      <c r="R21" s="45" t="s">
        <v>45</v>
      </c>
      <c r="S21" s="45" t="s">
        <v>47</v>
      </c>
      <c r="T21" s="56">
        <v>1.270472</v>
      </c>
      <c r="U21" s="56">
        <v>2.3698229999999998</v>
      </c>
      <c r="AA21" s="36"/>
      <c r="AB21" s="36"/>
      <c r="AC21" s="36"/>
    </row>
    <row r="22" spans="1:29" x14ac:dyDescent="0.25">
      <c r="A22" s="18" t="s">
        <v>46</v>
      </c>
      <c r="B22" s="9" t="s">
        <v>33</v>
      </c>
      <c r="C22" s="34">
        <v>90.514765999999995</v>
      </c>
      <c r="D22" s="34">
        <v>185.84521000000001</v>
      </c>
      <c r="H22" s="1"/>
      <c r="I22" s="1"/>
      <c r="J22" s="1"/>
      <c r="R22" s="45" t="s">
        <v>46</v>
      </c>
      <c r="S22" s="45" t="s">
        <v>33</v>
      </c>
      <c r="T22" s="56">
        <v>84.779279000000002</v>
      </c>
      <c r="U22" s="56">
        <v>156.21688900000001</v>
      </c>
      <c r="AA22" s="36"/>
      <c r="AB22" s="36"/>
      <c r="AC22" s="36"/>
    </row>
    <row r="23" spans="1:29" ht="30" x14ac:dyDescent="0.25">
      <c r="A23" s="69" t="s">
        <v>98</v>
      </c>
      <c r="B23" s="9" t="s">
        <v>99</v>
      </c>
      <c r="C23" s="34">
        <f>C22/(C21*$G$9*$H$9)</f>
        <v>2.5738379325574523</v>
      </c>
      <c r="D23" s="34">
        <f>D22/(D21*$G$9*$H$9)</f>
        <v>2.5363985368961015</v>
      </c>
      <c r="H23" s="1"/>
      <c r="I23" s="1"/>
      <c r="J23" s="1"/>
      <c r="R23" s="68" t="s">
        <v>98</v>
      </c>
      <c r="S23" s="45" t="s">
        <v>99</v>
      </c>
      <c r="T23" s="56">
        <f>T22/(T21*$G$9*$H$9)</f>
        <v>2.138799267778694</v>
      </c>
      <c r="U23" s="56">
        <f>U22/(U21*$G$9*$H$9)</f>
        <v>2.1127955845279676</v>
      </c>
      <c r="AA23" s="36"/>
      <c r="AB23" s="36"/>
      <c r="AC23" s="36"/>
    </row>
    <row r="24" spans="1:29" x14ac:dyDescent="0.25">
      <c r="A24" s="18" t="s">
        <v>51</v>
      </c>
      <c r="B24" s="9" t="s">
        <v>47</v>
      </c>
      <c r="C24" s="34">
        <v>14.474689</v>
      </c>
      <c r="D24" s="34">
        <v>2.3471519999999999</v>
      </c>
      <c r="H24" s="1"/>
      <c r="I24" s="1"/>
      <c r="J24" s="1"/>
      <c r="R24" s="45" t="s">
        <v>51</v>
      </c>
      <c r="S24" s="45" t="s">
        <v>47</v>
      </c>
      <c r="T24" s="56">
        <v>13.300155</v>
      </c>
      <c r="U24" s="56">
        <v>2.0171420000000002</v>
      </c>
    </row>
    <row r="25" spans="1:29" x14ac:dyDescent="0.25">
      <c r="A25" s="18" t="s">
        <v>52</v>
      </c>
      <c r="B25" s="9" t="s">
        <v>33</v>
      </c>
      <c r="C25" s="34">
        <v>67.810782000000003</v>
      </c>
      <c r="D25" s="34">
        <v>11.524946</v>
      </c>
      <c r="R25" s="45" t="s">
        <v>52</v>
      </c>
      <c r="S25" s="45" t="s">
        <v>33</v>
      </c>
      <c r="T25" s="56">
        <v>62.608229999999999</v>
      </c>
      <c r="U25" s="56">
        <v>10.07423</v>
      </c>
    </row>
    <row r="26" spans="1:29" x14ac:dyDescent="0.25">
      <c r="A26" s="9" t="s">
        <v>53</v>
      </c>
      <c r="B26" s="9" t="s">
        <v>47</v>
      </c>
      <c r="C26" s="34">
        <v>9.986364</v>
      </c>
      <c r="D26" s="34">
        <v>1.84206</v>
      </c>
      <c r="R26" s="45" t="s">
        <v>53</v>
      </c>
      <c r="S26" s="45" t="s">
        <v>47</v>
      </c>
      <c r="T26" s="56">
        <v>9.2544749999999993</v>
      </c>
      <c r="U26" s="56">
        <v>1.574948</v>
      </c>
    </row>
    <row r="27" spans="1:29" x14ac:dyDescent="0.25">
      <c r="A27" s="9" t="s">
        <v>54</v>
      </c>
      <c r="B27" s="9" t="s">
        <v>33</v>
      </c>
      <c r="C27" s="34">
        <v>47.110267999999998</v>
      </c>
      <c r="D27" s="34">
        <v>9.4998869999999993</v>
      </c>
      <c r="R27" s="45" t="s">
        <v>54</v>
      </c>
      <c r="S27" s="45" t="s">
        <v>33</v>
      </c>
      <c r="T27" s="56">
        <v>44.566350999999997</v>
      </c>
      <c r="U27" s="56">
        <v>8.4387450000000008</v>
      </c>
    </row>
    <row r="28" spans="1:29" x14ac:dyDescent="0.25">
      <c r="A28" s="99" t="s">
        <v>133</v>
      </c>
      <c r="B28" s="100" t="s">
        <v>134</v>
      </c>
      <c r="C28" s="6">
        <f>C26/C24</f>
        <v>0.68991907183636214</v>
      </c>
      <c r="D28" s="6">
        <f>D26/D24</f>
        <v>0.78480643775946346</v>
      </c>
      <c r="R28" s="45" t="s">
        <v>133</v>
      </c>
      <c r="S28" s="101" t="s">
        <v>134</v>
      </c>
      <c r="T28" s="46">
        <f>T26/T24</f>
        <v>0.6958170788235174</v>
      </c>
      <c r="U28" s="46">
        <f>U26/U24</f>
        <v>0.78078191817928522</v>
      </c>
    </row>
    <row r="29" spans="1:29" x14ac:dyDescent="0.25">
      <c r="A29" s="99" t="s">
        <v>132</v>
      </c>
      <c r="B29" s="100" t="s">
        <v>134</v>
      </c>
      <c r="C29" s="6">
        <f>C27/C25</f>
        <v>0.69473123020465977</v>
      </c>
      <c r="D29" s="6">
        <f>D27/D25</f>
        <v>0.82428906825246728</v>
      </c>
      <c r="R29" s="45" t="s">
        <v>132</v>
      </c>
      <c r="S29" s="101" t="s">
        <v>134</v>
      </c>
      <c r="T29" s="46">
        <f>T27/T25</f>
        <v>0.711828956033416</v>
      </c>
      <c r="U29" s="46">
        <f>U27/U25</f>
        <v>0.8376565752419789</v>
      </c>
    </row>
    <row r="30" spans="1:29" ht="45" x14ac:dyDescent="0.25">
      <c r="A30" s="69" t="s">
        <v>104</v>
      </c>
      <c r="B30" s="9" t="s">
        <v>99</v>
      </c>
      <c r="C30" s="34">
        <f>C27/(C26*$G$10*$H$10)</f>
        <v>1.9656081365883853</v>
      </c>
      <c r="D30" s="34">
        <f>D27/(D26*$G$10*$H$10)</f>
        <v>2.1488367642747792</v>
      </c>
      <c r="R30" s="68" t="s">
        <v>104</v>
      </c>
      <c r="S30" s="45" t="s">
        <v>99</v>
      </c>
      <c r="T30" s="56">
        <f>T27/(T26*$G$10*$H$10)</f>
        <v>2.0065225652094436</v>
      </c>
      <c r="U30" s="56">
        <f>U27/(U26*$G$10*$H$10)</f>
        <v>2.232545931675205</v>
      </c>
    </row>
    <row r="33" spans="1:29" x14ac:dyDescent="0.25">
      <c r="A33" s="15" t="s">
        <v>43</v>
      </c>
      <c r="R33" s="41" t="s">
        <v>43</v>
      </c>
      <c r="S33" s="41"/>
      <c r="T33" s="41"/>
      <c r="U33" s="41"/>
      <c r="V33" s="41"/>
      <c r="W33" s="41"/>
      <c r="X33" s="41"/>
      <c r="Y33" s="41"/>
      <c r="Z33" s="41"/>
      <c r="AA33" s="41"/>
      <c r="AB33" s="41"/>
      <c r="AC33" s="41"/>
    </row>
    <row r="34" spans="1:29" x14ac:dyDescent="0.25">
      <c r="A34" s="16" t="s">
        <v>31</v>
      </c>
      <c r="B34" s="2" t="s">
        <v>32</v>
      </c>
      <c r="C34" s="2">
        <v>1</v>
      </c>
      <c r="D34" s="2">
        <v>2</v>
      </c>
      <c r="E34" s="2">
        <v>3</v>
      </c>
      <c r="F34" s="2">
        <v>4</v>
      </c>
      <c r="G34" s="2">
        <v>5</v>
      </c>
      <c r="H34" s="2">
        <v>6</v>
      </c>
      <c r="I34" s="2">
        <v>7</v>
      </c>
      <c r="J34" s="2">
        <v>8</v>
      </c>
      <c r="K34" s="2">
        <v>9</v>
      </c>
      <c r="L34" s="2">
        <v>10</v>
      </c>
      <c r="R34" s="43" t="s">
        <v>31</v>
      </c>
      <c r="S34" s="43" t="s">
        <v>32</v>
      </c>
      <c r="T34" s="43">
        <v>1</v>
      </c>
      <c r="U34" s="43">
        <v>2</v>
      </c>
      <c r="V34" s="43">
        <v>3</v>
      </c>
      <c r="W34" s="43">
        <v>4</v>
      </c>
      <c r="X34" s="43">
        <v>5</v>
      </c>
      <c r="Y34" s="43">
        <v>6</v>
      </c>
      <c r="Z34" s="43">
        <v>7</v>
      </c>
      <c r="AA34" s="43">
        <v>8</v>
      </c>
      <c r="AB34" s="43">
        <v>9</v>
      </c>
      <c r="AC34" s="43">
        <v>10</v>
      </c>
    </row>
    <row r="35" spans="1:29" x14ac:dyDescent="0.25">
      <c r="A35" s="18" t="s">
        <v>45</v>
      </c>
      <c r="B35" s="9" t="s">
        <v>47</v>
      </c>
      <c r="C35" s="35">
        <v>0.28999999999999998</v>
      </c>
      <c r="D35" s="35">
        <v>0.52</v>
      </c>
      <c r="E35" s="35">
        <v>0.68</v>
      </c>
      <c r="F35" s="35">
        <v>0.8</v>
      </c>
      <c r="G35" s="35">
        <v>0.97</v>
      </c>
      <c r="H35" s="35">
        <v>1.1299999999999999</v>
      </c>
      <c r="I35" s="35">
        <v>1.3</v>
      </c>
      <c r="J35" s="35">
        <v>1.51</v>
      </c>
      <c r="K35" s="35">
        <v>1.78</v>
      </c>
      <c r="L35" s="35">
        <v>2.29</v>
      </c>
      <c r="R35" s="45" t="s">
        <v>45</v>
      </c>
      <c r="S35" s="45" t="s">
        <v>47</v>
      </c>
      <c r="T35" s="56">
        <v>0.39</v>
      </c>
      <c r="U35" s="56">
        <v>0.66</v>
      </c>
      <c r="V35" s="56">
        <v>0.83</v>
      </c>
      <c r="W35" s="56">
        <v>0.99</v>
      </c>
      <c r="X35" s="56">
        <v>1.1000000000000001</v>
      </c>
      <c r="Y35" s="56">
        <v>1.27</v>
      </c>
      <c r="Z35" s="56">
        <v>1.46</v>
      </c>
      <c r="AA35" s="56">
        <v>1.66</v>
      </c>
      <c r="AB35" s="56">
        <v>1.92</v>
      </c>
      <c r="AC35" s="56">
        <v>2.41</v>
      </c>
    </row>
    <row r="36" spans="1:29" x14ac:dyDescent="0.25">
      <c r="A36" s="18" t="s">
        <v>46</v>
      </c>
      <c r="B36" s="9" t="s">
        <v>33</v>
      </c>
      <c r="C36" s="35">
        <v>23.72</v>
      </c>
      <c r="D36" s="35">
        <v>41.9</v>
      </c>
      <c r="E36" s="35">
        <v>54.98</v>
      </c>
      <c r="F36" s="35">
        <v>64.150000000000006</v>
      </c>
      <c r="G36" s="35">
        <v>77.81</v>
      </c>
      <c r="H36" s="35">
        <v>90.41</v>
      </c>
      <c r="I36" s="35">
        <v>104.57</v>
      </c>
      <c r="J36" s="35">
        <v>120.98</v>
      </c>
      <c r="K36" s="35">
        <v>142.91999999999999</v>
      </c>
      <c r="L36" s="35">
        <v>183.72</v>
      </c>
      <c r="R36" s="45" t="s">
        <v>46</v>
      </c>
      <c r="S36" s="45" t="s">
        <v>33</v>
      </c>
      <c r="T36" s="56">
        <v>26.79</v>
      </c>
      <c r="U36" s="56">
        <v>44.75</v>
      </c>
      <c r="V36" s="56">
        <v>55.93</v>
      </c>
      <c r="W36" s="56">
        <v>66.540000000000006</v>
      </c>
      <c r="X36" s="56">
        <v>73.44</v>
      </c>
      <c r="Y36" s="56">
        <v>84.82</v>
      </c>
      <c r="Z36" s="56">
        <v>97.54</v>
      </c>
      <c r="AA36" s="56">
        <v>110.09</v>
      </c>
      <c r="AB36" s="56">
        <v>127.53</v>
      </c>
      <c r="AC36" s="56">
        <v>160.36000000000001</v>
      </c>
    </row>
    <row r="37" spans="1:29" ht="30" x14ac:dyDescent="0.25">
      <c r="A37" s="69" t="s">
        <v>98</v>
      </c>
      <c r="B37" s="9" t="s">
        <v>99</v>
      </c>
      <c r="C37" s="35">
        <f>C36/(C35*$G$9*$H$9)</f>
        <v>2.6215738284703805</v>
      </c>
      <c r="D37" s="35">
        <f t="shared" ref="D37:L37" si="0">D36/(D35*$G$9*$H$9)</f>
        <v>2.5825936883629188</v>
      </c>
      <c r="E37" s="35">
        <f t="shared" si="0"/>
        <v>2.5914404223227749</v>
      </c>
      <c r="F37" s="35">
        <f t="shared" si="0"/>
        <v>2.5701121794871793</v>
      </c>
      <c r="G37" s="35">
        <f t="shared" si="0"/>
        <v>2.5710415014538723</v>
      </c>
      <c r="H37" s="35">
        <f t="shared" si="0"/>
        <v>2.5643862037667344</v>
      </c>
      <c r="I37" s="35">
        <f t="shared" si="0"/>
        <v>2.5781558185404334</v>
      </c>
      <c r="J37" s="35">
        <f t="shared" si="0"/>
        <v>2.5679232467311937</v>
      </c>
      <c r="K37" s="35">
        <f t="shared" si="0"/>
        <v>2.5734658599827136</v>
      </c>
      <c r="L37" s="35">
        <f t="shared" si="0"/>
        <v>2.5713805844810209</v>
      </c>
      <c r="R37" s="68" t="s">
        <v>98</v>
      </c>
      <c r="S37" s="45" t="s">
        <v>99</v>
      </c>
      <c r="T37" s="59">
        <f>T36/(T35*$G$9*$H$9)</f>
        <v>2.2016765285996054</v>
      </c>
      <c r="U37" s="59">
        <f t="shared" ref="U37:AC37" si="1">U36/(U35*$G$9*$H$9)</f>
        <v>2.1731740481740482</v>
      </c>
      <c r="V37" s="59">
        <f t="shared" si="1"/>
        <v>2.1597930182267535</v>
      </c>
      <c r="W37" s="59">
        <f t="shared" si="1"/>
        <v>2.1542346542346547</v>
      </c>
      <c r="X37" s="59">
        <f t="shared" si="1"/>
        <v>2.1398601398601391</v>
      </c>
      <c r="Y37" s="59">
        <f t="shared" si="1"/>
        <v>2.1406218453462547</v>
      </c>
      <c r="Z37" s="59">
        <f t="shared" si="1"/>
        <v>2.1412890762205832</v>
      </c>
      <c r="AA37" s="59">
        <f t="shared" si="1"/>
        <v>2.1256178560395429</v>
      </c>
      <c r="AB37" s="59">
        <f t="shared" si="1"/>
        <v>2.12890625</v>
      </c>
      <c r="AC37" s="59">
        <f t="shared" si="1"/>
        <v>2.1326736886902862</v>
      </c>
    </row>
    <row r="38" spans="1:29" x14ac:dyDescent="0.25">
      <c r="A38" s="18" t="s">
        <v>51</v>
      </c>
      <c r="B38" s="9" t="s">
        <v>47</v>
      </c>
      <c r="C38" s="35">
        <v>15.31</v>
      </c>
      <c r="D38" s="35">
        <v>16.059999999999999</v>
      </c>
      <c r="E38" s="35">
        <v>15.78</v>
      </c>
      <c r="F38" s="35">
        <v>15.65</v>
      </c>
      <c r="G38" s="35">
        <v>15.17</v>
      </c>
      <c r="H38" s="35">
        <v>14.99</v>
      </c>
      <c r="I38" s="35">
        <v>14.19</v>
      </c>
      <c r="J38" s="35">
        <v>13.87</v>
      </c>
      <c r="K38" s="35">
        <v>12.6</v>
      </c>
      <c r="L38" s="35">
        <v>11.13</v>
      </c>
      <c r="R38" s="45" t="s">
        <v>51</v>
      </c>
      <c r="S38" s="45" t="s">
        <v>47</v>
      </c>
      <c r="T38" s="56">
        <v>15.03</v>
      </c>
      <c r="U38" s="56">
        <v>15.22</v>
      </c>
      <c r="V38" s="56">
        <v>14.96</v>
      </c>
      <c r="W38" s="56">
        <v>14.43</v>
      </c>
      <c r="X38" s="56">
        <v>13.9</v>
      </c>
      <c r="Y38" s="56">
        <v>13.48</v>
      </c>
      <c r="Z38" s="56">
        <v>12.59</v>
      </c>
      <c r="AA38" s="56">
        <v>12.01</v>
      </c>
      <c r="AB38" s="56">
        <v>11.07</v>
      </c>
      <c r="AC38" s="56">
        <v>10.31</v>
      </c>
    </row>
    <row r="39" spans="1:29" x14ac:dyDescent="0.25">
      <c r="A39" s="18" t="s">
        <v>52</v>
      </c>
      <c r="B39" s="9" t="s">
        <v>33</v>
      </c>
      <c r="C39" s="61">
        <v>67.78</v>
      </c>
      <c r="D39" s="61">
        <v>72.38</v>
      </c>
      <c r="E39" s="61">
        <v>72.8</v>
      </c>
      <c r="F39" s="61">
        <v>73.38</v>
      </c>
      <c r="G39" s="61">
        <v>71.790000000000006</v>
      </c>
      <c r="H39" s="61">
        <v>71.430000000000007</v>
      </c>
      <c r="I39" s="61">
        <v>67.55</v>
      </c>
      <c r="J39" s="61">
        <v>67.05</v>
      </c>
      <c r="K39" s="61">
        <v>60.58</v>
      </c>
      <c r="L39" s="61">
        <v>53.38</v>
      </c>
      <c r="R39" s="45" t="s">
        <v>52</v>
      </c>
      <c r="S39" s="45" t="s">
        <v>33</v>
      </c>
      <c r="T39" s="56">
        <v>66.63</v>
      </c>
      <c r="U39" s="56">
        <v>69.260000000000005</v>
      </c>
      <c r="V39" s="56">
        <v>69.12</v>
      </c>
      <c r="W39" s="56">
        <v>68.61</v>
      </c>
      <c r="X39" s="56">
        <v>66.8</v>
      </c>
      <c r="Y39" s="56">
        <v>64.89</v>
      </c>
      <c r="Z39" s="56">
        <v>60.64</v>
      </c>
      <c r="AA39" s="56">
        <v>58.06</v>
      </c>
      <c r="AB39" s="56">
        <v>53.08</v>
      </c>
      <c r="AC39" s="56">
        <v>48.98</v>
      </c>
    </row>
    <row r="40" spans="1:29" x14ac:dyDescent="0.25">
      <c r="A40" s="9" t="s">
        <v>53</v>
      </c>
      <c r="B40" s="9" t="s">
        <v>47</v>
      </c>
      <c r="C40" s="34">
        <v>12.019989000000001</v>
      </c>
      <c r="D40" s="34">
        <v>11.860949</v>
      </c>
      <c r="E40" s="34">
        <v>11.320029999999999</v>
      </c>
      <c r="F40" s="34">
        <v>11.180783</v>
      </c>
      <c r="G40" s="34">
        <v>10.659815999999999</v>
      </c>
      <c r="H40" s="34">
        <v>10.225955000000001</v>
      </c>
      <c r="I40" s="34">
        <v>9.3296080000000003</v>
      </c>
      <c r="J40" s="34">
        <v>9.0587149999999994</v>
      </c>
      <c r="K40" s="34">
        <v>7.7010459999999998</v>
      </c>
      <c r="L40" s="34">
        <v>6.5061819999999999</v>
      </c>
      <c r="R40" s="45" t="s">
        <v>53</v>
      </c>
      <c r="S40" s="45" t="s">
        <v>47</v>
      </c>
      <c r="T40" s="56">
        <v>12.304579</v>
      </c>
      <c r="U40" s="56">
        <v>11.530213</v>
      </c>
      <c r="V40" s="56">
        <v>10.885524999999999</v>
      </c>
      <c r="W40" s="56">
        <v>10.227797000000001</v>
      </c>
      <c r="X40" s="56">
        <v>9.5938510000000008</v>
      </c>
      <c r="Y40" s="56">
        <v>8.8576440000000005</v>
      </c>
      <c r="Z40" s="56">
        <v>8.3040520000000004</v>
      </c>
      <c r="AA40" s="56">
        <v>7.827312</v>
      </c>
      <c r="AB40" s="56">
        <v>7.0155880000000002</v>
      </c>
      <c r="AC40" s="56">
        <v>5.9979139999999997</v>
      </c>
    </row>
    <row r="41" spans="1:29" x14ac:dyDescent="0.25">
      <c r="A41" s="9" t="s">
        <v>54</v>
      </c>
      <c r="B41" s="9" t="s">
        <v>33</v>
      </c>
      <c r="C41" s="34">
        <v>53.076219999999999</v>
      </c>
      <c r="D41" s="34">
        <v>53.813414999999999</v>
      </c>
      <c r="E41" s="34">
        <v>52.788772999999999</v>
      </c>
      <c r="F41" s="34">
        <v>52.685018999999997</v>
      </c>
      <c r="G41" s="34">
        <v>50.925218000000001</v>
      </c>
      <c r="H41" s="34">
        <v>48.933430999999999</v>
      </c>
      <c r="I41" s="34">
        <v>44.787533000000003</v>
      </c>
      <c r="J41" s="34">
        <v>44.088838000000003</v>
      </c>
      <c r="K41" s="34">
        <v>37.613999999999997</v>
      </c>
      <c r="L41" s="34">
        <v>32.387945999999999</v>
      </c>
      <c r="R41" s="45" t="s">
        <v>54</v>
      </c>
      <c r="S41" s="45" t="s">
        <v>33</v>
      </c>
      <c r="T41" s="56">
        <v>54.413061999999996</v>
      </c>
      <c r="U41" s="56">
        <v>53.543742999999999</v>
      </c>
      <c r="V41" s="56">
        <v>51.120063999999999</v>
      </c>
      <c r="W41" s="56">
        <v>49.686169999999997</v>
      </c>
      <c r="X41" s="56">
        <v>47.209538000000002</v>
      </c>
      <c r="Y41" s="56">
        <v>43.942270000000001</v>
      </c>
      <c r="Z41" s="56">
        <v>41.296976999999998</v>
      </c>
      <c r="AA41" s="56">
        <v>39.188144999999999</v>
      </c>
      <c r="AB41" s="56">
        <v>35.049399000000001</v>
      </c>
      <c r="AC41" s="56">
        <v>30.213107000000001</v>
      </c>
    </row>
    <row r="42" spans="1:29" x14ac:dyDescent="0.25">
      <c r="A42" s="99" t="s">
        <v>133</v>
      </c>
      <c r="B42" s="100" t="s">
        <v>134</v>
      </c>
      <c r="C42" s="6">
        <f>C40/C38</f>
        <v>0.7851070542129327</v>
      </c>
      <c r="D42" s="6">
        <f t="shared" ref="D42:L42" si="2">D40/D38</f>
        <v>0.73853978829389788</v>
      </c>
      <c r="E42" s="6">
        <f t="shared" si="2"/>
        <v>0.71736565272496833</v>
      </c>
      <c r="F42" s="6">
        <f t="shared" si="2"/>
        <v>0.71442702875399355</v>
      </c>
      <c r="G42" s="6">
        <f t="shared" si="2"/>
        <v>0.7026905735003296</v>
      </c>
      <c r="H42" s="6">
        <f t="shared" si="2"/>
        <v>0.68218512341561044</v>
      </c>
      <c r="I42" s="6">
        <f t="shared" si="2"/>
        <v>0.65747766032417199</v>
      </c>
      <c r="J42" s="6">
        <f t="shared" si="2"/>
        <v>0.6531157173756309</v>
      </c>
      <c r="K42" s="6">
        <f t="shared" si="2"/>
        <v>0.61119412698412701</v>
      </c>
      <c r="L42" s="6">
        <f t="shared" si="2"/>
        <v>0.58456262353998201</v>
      </c>
      <c r="R42" s="45" t="s">
        <v>133</v>
      </c>
      <c r="S42" s="101" t="s">
        <v>134</v>
      </c>
      <c r="T42" s="46">
        <f>T40/T38</f>
        <v>0.81866793080505662</v>
      </c>
      <c r="U42" s="46">
        <f t="shared" ref="U42:AC42" si="3">U40/U38</f>
        <v>0.75756984231274638</v>
      </c>
      <c r="V42" s="46">
        <f t="shared" si="3"/>
        <v>0.72764204545454536</v>
      </c>
      <c r="W42" s="46">
        <f t="shared" si="3"/>
        <v>0.70878704088704092</v>
      </c>
      <c r="X42" s="46">
        <f t="shared" si="3"/>
        <v>0.69020510791366907</v>
      </c>
      <c r="Y42" s="46">
        <f t="shared" si="3"/>
        <v>0.65709525222551934</v>
      </c>
      <c r="Z42" s="46">
        <f t="shared" si="3"/>
        <v>0.65957521842732336</v>
      </c>
      <c r="AA42" s="46">
        <f t="shared" si="3"/>
        <v>0.6517328892589509</v>
      </c>
      <c r="AB42" s="46">
        <f t="shared" si="3"/>
        <v>0.63374778681120147</v>
      </c>
      <c r="AC42" s="46">
        <f t="shared" si="3"/>
        <v>0.58175693501454895</v>
      </c>
    </row>
    <row r="43" spans="1:29" x14ac:dyDescent="0.25">
      <c r="A43" s="99" t="s">
        <v>132</v>
      </c>
      <c r="B43" s="100" t="s">
        <v>134</v>
      </c>
      <c r="C43" s="6">
        <f>C41/C39</f>
        <v>0.78306609619356737</v>
      </c>
      <c r="D43" s="6">
        <f t="shared" ref="D43:L43" si="4">D41/D39</f>
        <v>0.74348459519204202</v>
      </c>
      <c r="E43" s="6">
        <f t="shared" si="4"/>
        <v>0.72512050824175822</v>
      </c>
      <c r="F43" s="6">
        <f t="shared" si="4"/>
        <v>0.71797518397383486</v>
      </c>
      <c r="G43" s="6">
        <f t="shared" si="4"/>
        <v>0.70936367182058779</v>
      </c>
      <c r="H43" s="6">
        <f t="shared" si="4"/>
        <v>0.68505433291334161</v>
      </c>
      <c r="I43" s="6">
        <f t="shared" si="4"/>
        <v>0.66302787564766852</v>
      </c>
      <c r="J43" s="6">
        <f t="shared" si="4"/>
        <v>0.6575516480238629</v>
      </c>
      <c r="K43" s="6">
        <f t="shared" si="4"/>
        <v>0.62089798613403757</v>
      </c>
      <c r="L43" s="6">
        <f t="shared" si="4"/>
        <v>0.6067430872986137</v>
      </c>
      <c r="R43" s="45" t="s">
        <v>132</v>
      </c>
      <c r="S43" s="101" t="s">
        <v>134</v>
      </c>
      <c r="T43" s="46">
        <f>T41/T39</f>
        <v>0.81664508479663811</v>
      </c>
      <c r="U43" s="46">
        <f t="shared" ref="U43:AC43" si="5">U41/U39</f>
        <v>0.77308320820098175</v>
      </c>
      <c r="V43" s="46">
        <f t="shared" si="5"/>
        <v>0.73958425925925919</v>
      </c>
      <c r="W43" s="46">
        <f t="shared" si="5"/>
        <v>0.72418262643929454</v>
      </c>
      <c r="X43" s="46">
        <f t="shared" si="5"/>
        <v>0.70672961077844321</v>
      </c>
      <c r="Y43" s="46">
        <f t="shared" si="5"/>
        <v>0.67718092155956233</v>
      </c>
      <c r="Z43" s="46">
        <f t="shared" si="5"/>
        <v>0.68101875000000001</v>
      </c>
      <c r="AA43" s="46">
        <f t="shared" si="5"/>
        <v>0.67495943851188422</v>
      </c>
      <c r="AB43" s="46">
        <f t="shared" si="5"/>
        <v>0.66031271665410707</v>
      </c>
      <c r="AC43" s="46">
        <f t="shared" si="5"/>
        <v>0.61684579420171504</v>
      </c>
    </row>
    <row r="44" spans="1:29" ht="45" x14ac:dyDescent="0.25">
      <c r="A44" s="69" t="s">
        <v>104</v>
      </c>
      <c r="B44" s="9" t="s">
        <v>99</v>
      </c>
      <c r="C44" s="34">
        <f>C41/(C40*$G$10*$H$10)</f>
        <v>1.8398595594943279</v>
      </c>
      <c r="D44" s="34">
        <f t="shared" ref="D44:L44" si="6">D41/(D40*$G$10*$H$10)</f>
        <v>1.8904268326252816</v>
      </c>
      <c r="E44" s="34">
        <f t="shared" si="6"/>
        <v>1.9430445045934803</v>
      </c>
      <c r="F44" s="34">
        <f t="shared" si="6"/>
        <v>1.9633769164467283</v>
      </c>
      <c r="G44" s="34">
        <f t="shared" si="6"/>
        <v>1.9905447554942164</v>
      </c>
      <c r="H44" s="34">
        <f t="shared" si="6"/>
        <v>1.9938411212775073</v>
      </c>
      <c r="I44" s="34">
        <f t="shared" si="6"/>
        <v>2.0002418197349057</v>
      </c>
      <c r="J44" s="34">
        <f t="shared" si="6"/>
        <v>2.027919982764296</v>
      </c>
      <c r="K44" s="34">
        <f t="shared" si="6"/>
        <v>2.0351131521614079</v>
      </c>
      <c r="L44" s="34">
        <f t="shared" si="6"/>
        <v>2.0741776820875901</v>
      </c>
      <c r="R44" s="68" t="s">
        <v>100</v>
      </c>
      <c r="S44" s="45" t="s">
        <v>99</v>
      </c>
      <c r="T44" s="56">
        <f>T41/(T40*$G$10*$H$10)</f>
        <v>1.8425749606440551</v>
      </c>
      <c r="U44" s="56">
        <f t="shared" ref="U44:AC44" si="7">U41/(U40*$G$10*$H$10)</f>
        <v>1.9349072663849893</v>
      </c>
      <c r="V44" s="56">
        <f t="shared" si="7"/>
        <v>1.9567293875735592</v>
      </c>
      <c r="W44" s="56">
        <f t="shared" si="7"/>
        <v>2.0241476080658747</v>
      </c>
      <c r="X44" s="56">
        <f t="shared" si="7"/>
        <v>2.0503383712477228</v>
      </c>
      <c r="Y44" s="56">
        <f t="shared" si="7"/>
        <v>2.0670597245347255</v>
      </c>
      <c r="Z44" s="56">
        <f t="shared" si="7"/>
        <v>2.0721298168653086</v>
      </c>
      <c r="AA44" s="56">
        <f t="shared" si="7"/>
        <v>2.0860793271048861</v>
      </c>
      <c r="AB44" s="56">
        <f t="shared" si="7"/>
        <v>2.0816382390185972</v>
      </c>
      <c r="AC44" s="56">
        <f t="shared" si="7"/>
        <v>2.0988621349578094</v>
      </c>
    </row>
    <row r="47" spans="1:29" x14ac:dyDescent="0.25">
      <c r="A47" s="15" t="s">
        <v>44</v>
      </c>
      <c r="R47" s="41" t="s">
        <v>44</v>
      </c>
    </row>
    <row r="48" spans="1:29" x14ac:dyDescent="0.25">
      <c r="A48" s="16" t="s">
        <v>31</v>
      </c>
      <c r="B48" s="2" t="s">
        <v>32</v>
      </c>
      <c r="C48" s="2">
        <v>1</v>
      </c>
      <c r="D48" s="2">
        <v>2</v>
      </c>
      <c r="E48" s="2">
        <v>3</v>
      </c>
      <c r="F48" s="2">
        <v>4</v>
      </c>
      <c r="G48" s="2">
        <v>5</v>
      </c>
      <c r="H48" s="2">
        <v>6</v>
      </c>
      <c r="I48" s="2">
        <v>7</v>
      </c>
      <c r="J48" s="2">
        <v>8</v>
      </c>
      <c r="K48" s="2">
        <v>9</v>
      </c>
      <c r="L48" s="2">
        <v>10</v>
      </c>
      <c r="R48" s="43" t="s">
        <v>31</v>
      </c>
      <c r="S48" s="43" t="s">
        <v>32</v>
      </c>
      <c r="T48" s="43">
        <v>1</v>
      </c>
      <c r="U48" s="43">
        <v>2</v>
      </c>
      <c r="V48" s="43">
        <v>3</v>
      </c>
      <c r="W48" s="43">
        <v>4</v>
      </c>
      <c r="X48" s="43">
        <v>5</v>
      </c>
      <c r="Y48" s="43">
        <v>6</v>
      </c>
      <c r="Z48" s="43">
        <v>7</v>
      </c>
      <c r="AA48" s="43">
        <v>8</v>
      </c>
      <c r="AB48" s="43">
        <v>9</v>
      </c>
      <c r="AC48" s="43">
        <v>10</v>
      </c>
    </row>
    <row r="49" spans="1:31" x14ac:dyDescent="0.25">
      <c r="A49" s="18" t="s">
        <v>45</v>
      </c>
      <c r="B49" s="9" t="s">
        <v>47</v>
      </c>
      <c r="C49" s="35">
        <v>1.38</v>
      </c>
      <c r="D49" s="35">
        <v>1.84</v>
      </c>
      <c r="E49" s="35">
        <v>2.08</v>
      </c>
      <c r="F49" s="35">
        <v>2.23</v>
      </c>
      <c r="G49" s="35">
        <v>2.35</v>
      </c>
      <c r="H49" s="35">
        <v>2.5099999999999998</v>
      </c>
      <c r="I49" s="35">
        <v>2.6</v>
      </c>
      <c r="J49" s="35">
        <v>2.72</v>
      </c>
      <c r="K49" s="35">
        <v>2.84</v>
      </c>
      <c r="L49" s="35">
        <v>2.93</v>
      </c>
      <c r="R49" s="45" t="s">
        <v>45</v>
      </c>
      <c r="S49" s="45" t="s">
        <v>47</v>
      </c>
      <c r="T49" s="56">
        <v>1.58</v>
      </c>
      <c r="U49" s="56">
        <v>1.99</v>
      </c>
      <c r="V49" s="56">
        <v>2.1800000000000002</v>
      </c>
      <c r="W49" s="56">
        <v>2.27</v>
      </c>
      <c r="X49" s="56">
        <v>2.38</v>
      </c>
      <c r="Y49" s="56">
        <v>2.4900000000000002</v>
      </c>
      <c r="Z49" s="56">
        <v>2.61</v>
      </c>
      <c r="AA49" s="56">
        <v>2.67</v>
      </c>
      <c r="AB49" s="56">
        <v>2.79</v>
      </c>
      <c r="AC49" s="56">
        <v>2.74</v>
      </c>
    </row>
    <row r="50" spans="1:31" x14ac:dyDescent="0.25">
      <c r="A50" s="18" t="s">
        <v>46</v>
      </c>
      <c r="B50" s="9" t="s">
        <v>33</v>
      </c>
      <c r="C50" s="35">
        <v>109.59</v>
      </c>
      <c r="D50" s="35">
        <v>145.65</v>
      </c>
      <c r="E50" s="35">
        <v>164.73</v>
      </c>
      <c r="F50" s="35">
        <v>176.09</v>
      </c>
      <c r="G50" s="35">
        <v>185.86</v>
      </c>
      <c r="H50" s="35">
        <v>198.28</v>
      </c>
      <c r="I50" s="35">
        <v>205.14</v>
      </c>
      <c r="J50" s="35">
        <v>215.05</v>
      </c>
      <c r="K50" s="35">
        <v>225.4</v>
      </c>
      <c r="L50" s="35">
        <v>232.67</v>
      </c>
      <c r="R50" s="45" t="s">
        <v>46</v>
      </c>
      <c r="S50" s="45" t="s">
        <v>33</v>
      </c>
      <c r="T50" s="56">
        <v>104.62</v>
      </c>
      <c r="U50" s="56">
        <v>131.35</v>
      </c>
      <c r="V50" s="56">
        <v>143.11000000000001</v>
      </c>
      <c r="W50" s="56">
        <v>149.69999999999999</v>
      </c>
      <c r="X50" s="56">
        <v>156.69999999999999</v>
      </c>
      <c r="Y50" s="56">
        <v>163.9</v>
      </c>
      <c r="Z50" s="56">
        <v>171.94</v>
      </c>
      <c r="AA50" s="56">
        <v>175.65</v>
      </c>
      <c r="AB50" s="56">
        <v>183.74</v>
      </c>
      <c r="AC50" s="56">
        <v>181.46</v>
      </c>
    </row>
    <row r="51" spans="1:31" ht="30" x14ac:dyDescent="0.25">
      <c r="A51" s="69" t="s">
        <v>98</v>
      </c>
      <c r="B51" s="9" t="s">
        <v>99</v>
      </c>
      <c r="C51" s="35">
        <f>C50/(C49*$G$9*$H$9)</f>
        <v>2.5452898550724639</v>
      </c>
      <c r="D51" s="35">
        <f t="shared" ref="D51:L51" si="8">D50/(D49*$G$9*$H$9)</f>
        <v>2.5371028428093645</v>
      </c>
      <c r="E51" s="35">
        <f t="shared" si="8"/>
        <v>2.5383690828402363</v>
      </c>
      <c r="F51" s="35">
        <f t="shared" si="8"/>
        <v>2.5309014602736579</v>
      </c>
      <c r="G51" s="35">
        <f t="shared" si="8"/>
        <v>2.5349154391707582</v>
      </c>
      <c r="H51" s="35">
        <f t="shared" si="8"/>
        <v>2.5319235877004802</v>
      </c>
      <c r="I51" s="35">
        <f t="shared" si="8"/>
        <v>2.5288461538461537</v>
      </c>
      <c r="J51" s="35">
        <f t="shared" si="8"/>
        <v>2.5340544871794872</v>
      </c>
      <c r="K51" s="35">
        <f t="shared" si="8"/>
        <v>2.5437883712531599</v>
      </c>
      <c r="L51" s="35">
        <f t="shared" si="8"/>
        <v>2.5451780869869602</v>
      </c>
      <c r="R51" s="68" t="s">
        <v>98</v>
      </c>
      <c r="S51" s="45" t="s">
        <v>99</v>
      </c>
      <c r="T51" s="59">
        <f>T50/(T49*$G$9*$H$9)</f>
        <v>2.1222817267121061</v>
      </c>
      <c r="U51" s="59">
        <f t="shared" ref="U51:AC51" si="9">U50/(U49*$G$9*$H$9)</f>
        <v>2.1155456771034657</v>
      </c>
      <c r="V51" s="59">
        <f t="shared" si="9"/>
        <v>2.1040637497059516</v>
      </c>
      <c r="W51" s="59">
        <f t="shared" si="9"/>
        <v>2.1136902744832256</v>
      </c>
      <c r="X51" s="59">
        <f t="shared" si="9"/>
        <v>2.1102671837965956</v>
      </c>
      <c r="Y51" s="59">
        <f t="shared" si="9"/>
        <v>2.10972093502214</v>
      </c>
      <c r="Z51" s="59">
        <f t="shared" si="9"/>
        <v>2.1114549562825422</v>
      </c>
      <c r="AA51" s="59">
        <f t="shared" si="9"/>
        <v>2.1085422068568138</v>
      </c>
      <c r="AB51" s="59">
        <f t="shared" si="9"/>
        <v>2.1107894494991268</v>
      </c>
      <c r="AC51" s="59">
        <f t="shared" si="9"/>
        <v>2.1226370952648321</v>
      </c>
    </row>
    <row r="52" spans="1:31" x14ac:dyDescent="0.25">
      <c r="A52" s="18" t="s">
        <v>51</v>
      </c>
      <c r="B52" s="9" t="s">
        <v>47</v>
      </c>
      <c r="C52" s="35">
        <v>6.13</v>
      </c>
      <c r="D52" s="35">
        <v>4.3</v>
      </c>
      <c r="E52" s="35">
        <v>3.16</v>
      </c>
      <c r="F52" s="35">
        <v>2.56</v>
      </c>
      <c r="G52" s="35">
        <v>2.06</v>
      </c>
      <c r="H52" s="35">
        <v>1.65</v>
      </c>
      <c r="I52" s="35">
        <v>1.35</v>
      </c>
      <c r="J52" s="35">
        <v>0.92</v>
      </c>
      <c r="K52" s="35">
        <v>0.76</v>
      </c>
      <c r="L52" s="35">
        <v>0.57999999999999996</v>
      </c>
      <c r="R52" s="45" t="s">
        <v>51</v>
      </c>
      <c r="S52" s="45" t="s">
        <v>47</v>
      </c>
      <c r="T52" s="56">
        <v>4.88</v>
      </c>
      <c r="U52" s="56">
        <v>3.34</v>
      </c>
      <c r="V52" s="56">
        <v>2.62</v>
      </c>
      <c r="W52" s="56">
        <v>2.12</v>
      </c>
      <c r="X52" s="56">
        <v>1.91</v>
      </c>
      <c r="Y52" s="56">
        <v>1.44</v>
      </c>
      <c r="Z52" s="56">
        <v>1.35</v>
      </c>
      <c r="AA52" s="56">
        <v>1.1200000000000001</v>
      </c>
      <c r="AB52" s="56">
        <v>0.79</v>
      </c>
      <c r="AC52" s="56">
        <v>0.61</v>
      </c>
    </row>
    <row r="53" spans="1:31" x14ac:dyDescent="0.25">
      <c r="A53" s="18" t="s">
        <v>52</v>
      </c>
      <c r="B53" s="9" t="s">
        <v>33</v>
      </c>
      <c r="C53" s="61">
        <v>29.79</v>
      </c>
      <c r="D53" s="61">
        <v>20.93</v>
      </c>
      <c r="E53" s="61">
        <v>15.7</v>
      </c>
      <c r="F53" s="61">
        <v>12.93</v>
      </c>
      <c r="G53" s="61">
        <v>9.91</v>
      </c>
      <c r="H53" s="61">
        <v>8.4</v>
      </c>
      <c r="I53" s="61">
        <v>6.83</v>
      </c>
      <c r="J53" s="61">
        <v>4.3899999999999997</v>
      </c>
      <c r="K53" s="61">
        <v>3.83</v>
      </c>
      <c r="L53" s="61">
        <v>2.54</v>
      </c>
      <c r="R53" s="45" t="s">
        <v>52</v>
      </c>
      <c r="S53" s="45" t="s">
        <v>33</v>
      </c>
      <c r="T53" s="56">
        <v>24</v>
      </c>
      <c r="U53" s="56">
        <v>17.37</v>
      </c>
      <c r="V53" s="56">
        <v>13.23</v>
      </c>
      <c r="W53" s="56">
        <v>10.36</v>
      </c>
      <c r="X53" s="56">
        <v>9.31</v>
      </c>
      <c r="Y53" s="56">
        <v>7.25</v>
      </c>
      <c r="Z53" s="56">
        <v>6.7</v>
      </c>
      <c r="AA53" s="56">
        <v>5.35</v>
      </c>
      <c r="AB53" s="56">
        <v>3.98</v>
      </c>
      <c r="AC53" s="56">
        <v>3.2</v>
      </c>
    </row>
    <row r="54" spans="1:31" x14ac:dyDescent="0.25">
      <c r="A54" s="9" t="s">
        <v>53</v>
      </c>
      <c r="B54" s="9" t="s">
        <v>47</v>
      </c>
      <c r="C54" s="34">
        <v>5.3015350000000003</v>
      </c>
      <c r="D54" s="34">
        <v>3.505134</v>
      </c>
      <c r="E54" s="34">
        <v>2.4013689999999999</v>
      </c>
      <c r="F54" s="34">
        <v>1.930987</v>
      </c>
      <c r="G54" s="34">
        <v>1.585764</v>
      </c>
      <c r="H54" s="34">
        <v>1.203891</v>
      </c>
      <c r="I54" s="34">
        <v>0.99069700000000005</v>
      </c>
      <c r="J54" s="34">
        <v>0.59273200000000004</v>
      </c>
      <c r="K54" s="34">
        <v>0.53246800000000005</v>
      </c>
      <c r="L54" s="34">
        <v>0.37545699999999999</v>
      </c>
      <c r="R54" s="45" t="s">
        <v>53</v>
      </c>
      <c r="S54" s="45" t="s">
        <v>47</v>
      </c>
      <c r="T54" s="56">
        <v>4.3319020000000004</v>
      </c>
      <c r="U54" s="56">
        <v>2.8480059999999998</v>
      </c>
      <c r="V54" s="56">
        <v>2.0722580000000002</v>
      </c>
      <c r="W54" s="56">
        <v>1.646409</v>
      </c>
      <c r="X54" s="56">
        <v>1.42049</v>
      </c>
      <c r="Y54" s="56">
        <v>0.98759300000000005</v>
      </c>
      <c r="Z54" s="56">
        <v>0.86981399999999998</v>
      </c>
      <c r="AA54" s="56">
        <v>0.69684299999999999</v>
      </c>
      <c r="AB54" s="56">
        <v>0.51005100000000003</v>
      </c>
      <c r="AC54" s="56">
        <v>0.36595</v>
      </c>
    </row>
    <row r="55" spans="1:31" x14ac:dyDescent="0.25">
      <c r="A55" s="9" t="s">
        <v>54</v>
      </c>
      <c r="B55" s="9" t="s">
        <v>33</v>
      </c>
      <c r="C55" s="34">
        <v>26.299057999999999</v>
      </c>
      <c r="D55" s="34">
        <v>17.804531999999998</v>
      </c>
      <c r="E55" s="34">
        <v>12.651681999999999</v>
      </c>
      <c r="F55" s="34">
        <v>10.328211</v>
      </c>
      <c r="G55" s="34">
        <v>7.9592330000000002</v>
      </c>
      <c r="H55" s="34">
        <v>6.6567429999999996</v>
      </c>
      <c r="I55" s="34">
        <v>5.3846059999999998</v>
      </c>
      <c r="J55" s="34">
        <v>3.1915179999999999</v>
      </c>
      <c r="K55" s="34">
        <v>2.946313</v>
      </c>
      <c r="L55" s="34">
        <v>1.7742450000000001</v>
      </c>
      <c r="R55" s="45" t="s">
        <v>54</v>
      </c>
      <c r="S55" s="45" t="s">
        <v>33</v>
      </c>
      <c r="T55" s="56">
        <v>21.566056</v>
      </c>
      <c r="U55" s="56">
        <v>15.340643</v>
      </c>
      <c r="V55" s="56">
        <v>11.267239999999999</v>
      </c>
      <c r="W55" s="56">
        <v>8.7121770000000005</v>
      </c>
      <c r="X55" s="56">
        <v>7.5869439999999999</v>
      </c>
      <c r="Y55" s="56">
        <v>5.6835040000000001</v>
      </c>
      <c r="Z55" s="56">
        <v>5.0749279999999999</v>
      </c>
      <c r="AA55" s="56">
        <v>3.9110900000000002</v>
      </c>
      <c r="AB55" s="56">
        <v>2.9849000000000001</v>
      </c>
      <c r="AC55" s="56">
        <v>2.259185</v>
      </c>
    </row>
    <row r="56" spans="1:31" x14ac:dyDescent="0.25">
      <c r="A56" s="99" t="s">
        <v>133</v>
      </c>
      <c r="B56" s="100" t="s">
        <v>134</v>
      </c>
      <c r="C56" s="6">
        <f>C54/C52</f>
        <v>0.86485073409461666</v>
      </c>
      <c r="D56" s="6">
        <f t="shared" ref="D56:L56" si="10">D54/D52</f>
        <v>0.81514744186046517</v>
      </c>
      <c r="E56" s="6">
        <f t="shared" si="10"/>
        <v>0.75992689873417718</v>
      </c>
      <c r="F56" s="6">
        <f t="shared" si="10"/>
        <v>0.75429179687500003</v>
      </c>
      <c r="G56" s="6">
        <f t="shared" si="10"/>
        <v>0.7697883495145631</v>
      </c>
      <c r="H56" s="6">
        <f t="shared" si="10"/>
        <v>0.72963090909090911</v>
      </c>
      <c r="I56" s="6">
        <f t="shared" si="10"/>
        <v>0.73384962962962963</v>
      </c>
      <c r="J56" s="6">
        <f t="shared" si="10"/>
        <v>0.64427391304347825</v>
      </c>
      <c r="K56" s="6">
        <f t="shared" si="10"/>
        <v>0.7006157894736843</v>
      </c>
      <c r="L56" s="6">
        <f t="shared" si="10"/>
        <v>0.64733965517241376</v>
      </c>
      <c r="R56" s="45" t="s">
        <v>133</v>
      </c>
      <c r="S56" s="101" t="s">
        <v>134</v>
      </c>
      <c r="T56" s="46">
        <f>T54/T52</f>
        <v>0.88768483606557391</v>
      </c>
      <c r="U56" s="46">
        <f t="shared" ref="U56:AC56" si="11">U54/U52</f>
        <v>0.85269640718562867</v>
      </c>
      <c r="V56" s="46">
        <f t="shared" si="11"/>
        <v>0.79093816793893135</v>
      </c>
      <c r="W56" s="46">
        <f t="shared" si="11"/>
        <v>0.77660801886792452</v>
      </c>
      <c r="X56" s="46">
        <f t="shared" si="11"/>
        <v>0.74371204188481677</v>
      </c>
      <c r="Y56" s="46">
        <f t="shared" si="11"/>
        <v>0.68582847222222232</v>
      </c>
      <c r="Z56" s="46">
        <f t="shared" si="11"/>
        <v>0.64430666666666658</v>
      </c>
      <c r="AA56" s="46">
        <f t="shared" si="11"/>
        <v>0.62218124999999991</v>
      </c>
      <c r="AB56" s="46">
        <f t="shared" si="11"/>
        <v>0.6456341772151899</v>
      </c>
      <c r="AC56" s="46">
        <f t="shared" si="11"/>
        <v>0.59991803278688527</v>
      </c>
    </row>
    <row r="57" spans="1:31" x14ac:dyDescent="0.25">
      <c r="A57" s="99" t="s">
        <v>132</v>
      </c>
      <c r="B57" s="100" t="s">
        <v>134</v>
      </c>
      <c r="C57" s="6">
        <f>C55/C53</f>
        <v>0.88281497146693522</v>
      </c>
      <c r="D57" s="6">
        <f t="shared" ref="D57:L57" si="12">D55/D53</f>
        <v>0.85067042522694691</v>
      </c>
      <c r="E57" s="6">
        <f t="shared" si="12"/>
        <v>0.80583961783439484</v>
      </c>
      <c r="F57" s="6">
        <f t="shared" si="12"/>
        <v>0.79877888631090488</v>
      </c>
      <c r="G57" s="6">
        <f t="shared" si="12"/>
        <v>0.80315166498486379</v>
      </c>
      <c r="H57" s="6">
        <f t="shared" si="12"/>
        <v>0.79246940476190464</v>
      </c>
      <c r="I57" s="6">
        <f t="shared" si="12"/>
        <v>0.78837569546120057</v>
      </c>
      <c r="J57" s="6">
        <f t="shared" si="12"/>
        <v>0.72699726651480645</v>
      </c>
      <c r="K57" s="6">
        <f t="shared" si="12"/>
        <v>0.76927232375979104</v>
      </c>
      <c r="L57" s="6">
        <f t="shared" si="12"/>
        <v>0.69852165354330709</v>
      </c>
      <c r="R57" s="45" t="s">
        <v>132</v>
      </c>
      <c r="S57" s="101" t="s">
        <v>134</v>
      </c>
      <c r="T57" s="46">
        <f>T55/T53</f>
        <v>0.89858566666666662</v>
      </c>
      <c r="U57" s="46">
        <f t="shared" ref="U57:AC57" si="13">U55/U53</f>
        <v>0.88316885434657455</v>
      </c>
      <c r="V57" s="46">
        <f t="shared" si="13"/>
        <v>0.85164323507180639</v>
      </c>
      <c r="W57" s="46">
        <f t="shared" si="13"/>
        <v>0.84094372586872601</v>
      </c>
      <c r="X57" s="46">
        <f t="shared" si="13"/>
        <v>0.81492416756176145</v>
      </c>
      <c r="Y57" s="46">
        <f t="shared" si="13"/>
        <v>0.78393158620689651</v>
      </c>
      <c r="Z57" s="46">
        <f t="shared" si="13"/>
        <v>0.75745194029850738</v>
      </c>
      <c r="AA57" s="46">
        <f t="shared" si="13"/>
        <v>0.7310448598130842</v>
      </c>
      <c r="AB57" s="46">
        <f t="shared" si="13"/>
        <v>0.74997487437185928</v>
      </c>
      <c r="AC57" s="46">
        <f t="shared" si="13"/>
        <v>0.70599531249999992</v>
      </c>
    </row>
    <row r="58" spans="1:31" ht="45" x14ac:dyDescent="0.25">
      <c r="A58" s="69" t="s">
        <v>104</v>
      </c>
      <c r="B58" s="9" t="s">
        <v>99</v>
      </c>
      <c r="C58" s="34">
        <f>C55/(C54*$G$10*$H$10)</f>
        <v>2.0669373744270918</v>
      </c>
      <c r="D58" s="34">
        <f t="shared" ref="D58:L58" si="14">D55/(D54*$G$10*$H$10)</f>
        <v>2.1164825652885164</v>
      </c>
      <c r="E58" s="34">
        <f t="shared" si="14"/>
        <v>2.1952203791531693</v>
      </c>
      <c r="F58" s="34">
        <f t="shared" si="14"/>
        <v>2.2286122330186582</v>
      </c>
      <c r="G58" s="34">
        <f t="shared" si="14"/>
        <v>2.0913244867037806</v>
      </c>
      <c r="H58" s="34">
        <f t="shared" si="14"/>
        <v>2.3038987056690901</v>
      </c>
      <c r="I58" s="34">
        <f t="shared" si="14"/>
        <v>2.264653908645462</v>
      </c>
      <c r="J58" s="34">
        <f t="shared" si="14"/>
        <v>2.2435083084204441</v>
      </c>
      <c r="K58" s="34">
        <f t="shared" si="14"/>
        <v>2.3055477825271504</v>
      </c>
      <c r="L58" s="34">
        <f t="shared" si="14"/>
        <v>1.9689837984110035</v>
      </c>
      <c r="R58" s="68" t="s">
        <v>100</v>
      </c>
      <c r="S58" s="45" t="s">
        <v>99</v>
      </c>
      <c r="T58" s="56">
        <f>T55/(T54*$G$10*$H$10)</f>
        <v>2.0743444026819318</v>
      </c>
      <c r="U58" s="56">
        <f t="shared" ref="U58:AC58" si="15">U55/(U54*$G$10*$H$10)</f>
        <v>2.2443543248621438</v>
      </c>
      <c r="V58" s="56">
        <f t="shared" si="15"/>
        <v>2.2654917164432868</v>
      </c>
      <c r="W58" s="56">
        <f t="shared" si="15"/>
        <v>2.2048432376159268</v>
      </c>
      <c r="X58" s="56">
        <f t="shared" si="15"/>
        <v>2.2254480261506004</v>
      </c>
      <c r="Y58" s="56">
        <f t="shared" si="15"/>
        <v>2.397877128196197</v>
      </c>
      <c r="Z58" s="56">
        <f t="shared" si="15"/>
        <v>2.4310408125568612</v>
      </c>
      <c r="AA58" s="56">
        <f t="shared" si="15"/>
        <v>2.3385767430157633</v>
      </c>
      <c r="AB58" s="56">
        <f t="shared" si="15"/>
        <v>2.4383999508545879</v>
      </c>
      <c r="AC58" s="56">
        <f t="shared" si="15"/>
        <v>2.572283326501799</v>
      </c>
    </row>
    <row r="61" spans="1:31" x14ac:dyDescent="0.25">
      <c r="A61" s="15" t="s">
        <v>94</v>
      </c>
      <c r="D61" s="1"/>
      <c r="E61" s="1"/>
      <c r="F61" s="1"/>
      <c r="G61" s="1"/>
      <c r="R61" s="41" t="s">
        <v>94</v>
      </c>
      <c r="U61" s="36"/>
      <c r="V61" s="36"/>
      <c r="W61" s="36"/>
      <c r="X61" s="36"/>
    </row>
    <row r="62" spans="1:31" x14ac:dyDescent="0.25">
      <c r="A62" s="141" t="s">
        <v>24</v>
      </c>
      <c r="B62" s="141"/>
      <c r="C62" s="141"/>
      <c r="D62" s="141"/>
      <c r="E62" s="141"/>
      <c r="F62" s="141"/>
      <c r="G62" s="141"/>
      <c r="H62" s="141"/>
      <c r="I62" s="141"/>
      <c r="J62" s="141"/>
      <c r="K62" s="141"/>
      <c r="L62" s="1"/>
      <c r="R62" s="145" t="s">
        <v>24</v>
      </c>
      <c r="S62" s="145"/>
      <c r="T62" s="145"/>
      <c r="U62" s="145"/>
      <c r="V62" s="145"/>
      <c r="W62" s="145"/>
      <c r="X62" s="145"/>
      <c r="Y62" s="145"/>
      <c r="Z62" s="145"/>
      <c r="AA62" s="145"/>
      <c r="AB62" s="145"/>
    </row>
    <row r="63" spans="1:31" x14ac:dyDescent="0.25">
      <c r="A63" s="9"/>
      <c r="B63" s="152" t="s">
        <v>55</v>
      </c>
      <c r="C63" s="152"/>
      <c r="D63" s="152"/>
      <c r="E63" s="152"/>
      <c r="F63" s="152"/>
      <c r="G63" s="152"/>
      <c r="H63" s="152"/>
      <c r="I63" s="149" t="s">
        <v>1</v>
      </c>
      <c r="J63" s="150"/>
      <c r="K63" s="151"/>
      <c r="R63" s="45"/>
      <c r="S63" s="146" t="s">
        <v>55</v>
      </c>
      <c r="T63" s="146"/>
      <c r="U63" s="146"/>
      <c r="V63" s="146"/>
      <c r="W63" s="146"/>
      <c r="X63" s="146"/>
      <c r="Y63" s="146"/>
      <c r="Z63" s="103" t="s">
        <v>1</v>
      </c>
      <c r="AA63" s="103"/>
      <c r="AB63" s="103"/>
    </row>
    <row r="64" spans="1:31" s="36" customFormat="1" ht="75" x14ac:dyDescent="0.25">
      <c r="A64" s="2" t="s">
        <v>56</v>
      </c>
      <c r="B64" s="31" t="s">
        <v>96</v>
      </c>
      <c r="C64" s="31" t="s">
        <v>97</v>
      </c>
      <c r="D64" s="31" t="s">
        <v>105</v>
      </c>
      <c r="E64" s="31" t="s">
        <v>135</v>
      </c>
      <c r="F64" s="31" t="s">
        <v>136</v>
      </c>
      <c r="G64" s="31" t="s">
        <v>137</v>
      </c>
      <c r="H64" s="31" t="s">
        <v>138</v>
      </c>
      <c r="I64" s="31" t="s">
        <v>106</v>
      </c>
      <c r="J64" s="31" t="s">
        <v>107</v>
      </c>
      <c r="K64" s="31" t="s">
        <v>93</v>
      </c>
      <c r="L64" s="96" t="s">
        <v>131</v>
      </c>
      <c r="M64" s="8"/>
      <c r="N64" s="8"/>
      <c r="O64" s="14"/>
      <c r="P64" s="54"/>
      <c r="Q64" s="42"/>
      <c r="R64" s="104" t="s">
        <v>56</v>
      </c>
      <c r="S64" s="105" t="s">
        <v>96</v>
      </c>
      <c r="T64" s="105" t="s">
        <v>97</v>
      </c>
      <c r="U64" s="105" t="s">
        <v>105</v>
      </c>
      <c r="V64" s="52" t="s">
        <v>135</v>
      </c>
      <c r="W64" s="52" t="s">
        <v>136</v>
      </c>
      <c r="X64" s="52" t="s">
        <v>137</v>
      </c>
      <c r="Y64" s="52" t="s">
        <v>138</v>
      </c>
      <c r="Z64" s="105" t="s">
        <v>106</v>
      </c>
      <c r="AA64" s="105" t="s">
        <v>107</v>
      </c>
      <c r="AB64" s="105" t="s">
        <v>93</v>
      </c>
      <c r="AC64" s="41" t="s">
        <v>131</v>
      </c>
      <c r="AD64" s="42"/>
      <c r="AE64" s="55"/>
    </row>
    <row r="65" spans="1:31" s="36" customFormat="1" x14ac:dyDescent="0.25">
      <c r="A65" s="23" t="s">
        <v>57</v>
      </c>
      <c r="B65" s="34">
        <v>2.2860459999999998</v>
      </c>
      <c r="C65" s="34">
        <v>13.300046</v>
      </c>
      <c r="D65" s="34">
        <f>C65/(B65*$G$10*$H$10)</f>
        <v>2.4241357493827045</v>
      </c>
      <c r="E65" s="34">
        <v>2.3614760000000001</v>
      </c>
      <c r="F65" s="34">
        <v>14.484645</v>
      </c>
      <c r="G65" s="6">
        <f>B65/E65</f>
        <v>0.9680581128074135</v>
      </c>
      <c r="H65" s="6">
        <f>C65/F65</f>
        <v>0.91821691177105136</v>
      </c>
      <c r="I65" s="34">
        <v>2.6552440000000002</v>
      </c>
      <c r="J65" s="34">
        <v>217.624077</v>
      </c>
      <c r="K65" s="34">
        <f>J65/(I65*$G$9*$H$9)</f>
        <v>2.6269264418173703</v>
      </c>
      <c r="L65" s="98">
        <f t="shared" ref="L65:L100" si="16">K65-D65</f>
        <v>0.20279069243466585</v>
      </c>
      <c r="M65" s="8"/>
      <c r="N65" s="8"/>
      <c r="O65" s="14"/>
      <c r="P65" s="54"/>
      <c r="Q65" s="42"/>
      <c r="R65" s="67" t="s">
        <v>57</v>
      </c>
      <c r="S65" s="56">
        <v>1.297966</v>
      </c>
      <c r="T65" s="56">
        <v>6.0606270000000002</v>
      </c>
      <c r="U65" s="56">
        <f>T65/(S65*$G$10*$H$10)</f>
        <v>1.9455526955251528</v>
      </c>
      <c r="V65" s="56">
        <v>1.297966</v>
      </c>
      <c r="W65" s="56">
        <v>6.0606270000000002</v>
      </c>
      <c r="X65" s="46">
        <f>S65/V65</f>
        <v>1</v>
      </c>
      <c r="Y65" s="46">
        <f>T65/W65</f>
        <v>1</v>
      </c>
      <c r="Z65" s="56">
        <v>2.9356849999999999</v>
      </c>
      <c r="AA65" s="56">
        <v>193.34392099999999</v>
      </c>
      <c r="AB65" s="56">
        <f>AA65/(Z65*$G$9*$H$9)</f>
        <v>2.1108942358842295</v>
      </c>
      <c r="AC65" s="97">
        <f t="shared" ref="AC65:AC100" si="17">AB65-U65</f>
        <v>0.16534154035907678</v>
      </c>
      <c r="AD65" s="42"/>
      <c r="AE65" s="55"/>
    </row>
    <row r="66" spans="1:31" s="36" customFormat="1" x14ac:dyDescent="0.25">
      <c r="A66" s="23" t="s">
        <v>58</v>
      </c>
      <c r="B66" s="34">
        <v>6.4041750000000004</v>
      </c>
      <c r="C66" s="34">
        <v>25.909514999999999</v>
      </c>
      <c r="D66" s="34">
        <f t="shared" ref="D66:D100" si="18">C66/(B66*$G$10*$H$10)</f>
        <v>1.6857177153965968</v>
      </c>
      <c r="E66" s="34">
        <v>6.706925</v>
      </c>
      <c r="F66" s="34">
        <v>27.148969000000001</v>
      </c>
      <c r="G66" s="6">
        <f t="shared" ref="G66:G100" si="19">B66/E66</f>
        <v>0.95486008863972693</v>
      </c>
      <c r="H66" s="6">
        <f t="shared" ref="H66:H100" si="20">C66/F66</f>
        <v>0.95434618530081194</v>
      </c>
      <c r="I66" s="34">
        <v>1.8950739999999999</v>
      </c>
      <c r="J66" s="34">
        <v>152.51551499999999</v>
      </c>
      <c r="K66" s="34">
        <f t="shared" ref="K66:K100" si="21">J66/(I66*$G$9*$H$9)</f>
        <v>2.5794864941746543</v>
      </c>
      <c r="L66" s="98">
        <f t="shared" si="16"/>
        <v>0.89376877877805749</v>
      </c>
      <c r="M66" s="8"/>
      <c r="N66" s="8"/>
      <c r="O66" s="14"/>
      <c r="P66" s="54"/>
      <c r="Q66" s="42"/>
      <c r="R66" s="67" t="s">
        <v>58</v>
      </c>
      <c r="S66" s="56">
        <v>6.3373949999999999</v>
      </c>
      <c r="T66" s="56">
        <v>26.043897999999999</v>
      </c>
      <c r="U66" s="56">
        <f t="shared" ref="U66:U100" si="22">T66/(S66*$G$10*$H$10)</f>
        <v>1.7123162066853441</v>
      </c>
      <c r="V66" s="56">
        <v>6.4250400000000001</v>
      </c>
      <c r="W66" s="56">
        <v>26.289377000000002</v>
      </c>
      <c r="X66" s="46">
        <f t="shared" ref="X66:X100" si="23">S66/V66</f>
        <v>0.98635883978932426</v>
      </c>
      <c r="Y66" s="46">
        <f t="shared" ref="Y66:Y100" si="24">T66/W66</f>
        <v>0.99066242611987332</v>
      </c>
      <c r="Z66" s="56">
        <v>1.881545</v>
      </c>
      <c r="AA66" s="56">
        <v>127.873048</v>
      </c>
      <c r="AB66" s="56">
        <f t="shared" ref="AB66:AB100" si="25">AA66/(Z66*$G$9*$H$9)</f>
        <v>2.1782604871024227</v>
      </c>
      <c r="AC66" s="97">
        <f t="shared" si="17"/>
        <v>0.46594428041707858</v>
      </c>
      <c r="AD66" s="42"/>
      <c r="AE66" s="55"/>
    </row>
    <row r="67" spans="1:31" s="36" customFormat="1" x14ac:dyDescent="0.25">
      <c r="A67" s="23" t="s">
        <v>59</v>
      </c>
      <c r="B67" s="34">
        <v>19.68534</v>
      </c>
      <c r="C67" s="34">
        <v>112.403346</v>
      </c>
      <c r="D67" s="34">
        <f t="shared" si="18"/>
        <v>2.3791678223490171</v>
      </c>
      <c r="E67" s="34">
        <v>25.564439</v>
      </c>
      <c r="F67" s="34">
        <v>140.62508500000001</v>
      </c>
      <c r="G67" s="6">
        <f t="shared" si="19"/>
        <v>0.7700282411829964</v>
      </c>
      <c r="H67" s="6">
        <f t="shared" si="20"/>
        <v>0.79931219952684818</v>
      </c>
      <c r="I67" s="34">
        <v>0.96853599999999995</v>
      </c>
      <c r="J67" s="34">
        <v>79.500799999999998</v>
      </c>
      <c r="K67" s="34">
        <f t="shared" si="21"/>
        <v>2.6308805910183657</v>
      </c>
      <c r="L67" s="98">
        <f t="shared" si="16"/>
        <v>0.25171276866934855</v>
      </c>
      <c r="M67" s="8"/>
      <c r="N67" s="8"/>
      <c r="O67" s="14"/>
      <c r="P67" s="54"/>
      <c r="Q67" s="42"/>
      <c r="R67" s="67" t="s">
        <v>59</v>
      </c>
      <c r="S67" s="56">
        <v>16.854789</v>
      </c>
      <c r="T67" s="56">
        <v>111.6343</v>
      </c>
      <c r="U67" s="56">
        <f t="shared" si="22"/>
        <v>2.7597077404330999</v>
      </c>
      <c r="V67" s="56">
        <v>18.783891000000001</v>
      </c>
      <c r="W67" s="56">
        <v>121.36962200000001</v>
      </c>
      <c r="X67" s="46">
        <f t="shared" si="23"/>
        <v>0.89730019195703381</v>
      </c>
      <c r="Y67" s="46">
        <f t="shared" si="24"/>
        <v>0.9197878197231264</v>
      </c>
      <c r="Z67" s="56">
        <v>1.2572559999999999</v>
      </c>
      <c r="AA67" s="56">
        <v>88.357207000000002</v>
      </c>
      <c r="AB67" s="56">
        <f t="shared" si="25"/>
        <v>2.2524941323171359</v>
      </c>
      <c r="AC67" s="97">
        <f t="shared" si="17"/>
        <v>-0.50721360811596394</v>
      </c>
      <c r="AD67" s="42"/>
      <c r="AE67" s="55"/>
    </row>
    <row r="68" spans="1:31" s="36" customFormat="1" x14ac:dyDescent="0.25">
      <c r="A68" s="23" t="s">
        <v>60</v>
      </c>
      <c r="B68" s="34">
        <v>8.6468489999999996</v>
      </c>
      <c r="C68" s="34">
        <v>46.328774000000003</v>
      </c>
      <c r="D68" s="34">
        <f t="shared" si="18"/>
        <v>2.2324497436387913</v>
      </c>
      <c r="E68" s="34">
        <v>16.955428999999999</v>
      </c>
      <c r="F68" s="34">
        <v>84.168833000000006</v>
      </c>
      <c r="G68" s="6">
        <f t="shared" si="19"/>
        <v>0.5099752415583233</v>
      </c>
      <c r="H68" s="6">
        <f t="shared" si="20"/>
        <v>0.55042671198732196</v>
      </c>
      <c r="I68" s="34">
        <v>0.96761600000000003</v>
      </c>
      <c r="J68" s="34">
        <v>78.142976000000004</v>
      </c>
      <c r="K68" s="34">
        <f t="shared" si="21"/>
        <v>2.5884054874067441</v>
      </c>
      <c r="L68" s="98">
        <f t="shared" si="16"/>
        <v>0.3559557437679528</v>
      </c>
      <c r="M68" s="8"/>
      <c r="N68" s="8"/>
      <c r="O68" s="14"/>
      <c r="P68" s="54"/>
      <c r="Q68" s="42"/>
      <c r="R68" s="67" t="s">
        <v>60</v>
      </c>
      <c r="S68" s="56">
        <v>12.851265</v>
      </c>
      <c r="T68" s="56">
        <v>65.990285</v>
      </c>
      <c r="U68" s="56">
        <f t="shared" si="22"/>
        <v>2.139552182865526</v>
      </c>
      <c r="V68" s="56">
        <v>21.029067999999999</v>
      </c>
      <c r="W68" s="56">
        <v>98.147683999999998</v>
      </c>
      <c r="X68" s="46">
        <f t="shared" si="23"/>
        <v>0.61111909476920234</v>
      </c>
      <c r="Y68" s="46">
        <f t="shared" si="24"/>
        <v>0.67235702678424891</v>
      </c>
      <c r="Z68" s="56">
        <v>0.99050000000000005</v>
      </c>
      <c r="AA68" s="56">
        <v>66.470067999999998</v>
      </c>
      <c r="AB68" s="56">
        <f t="shared" si="25"/>
        <v>2.1508842982694567</v>
      </c>
      <c r="AC68" s="97">
        <f t="shared" si="17"/>
        <v>1.1332115403930754E-2</v>
      </c>
      <c r="AD68" s="42"/>
      <c r="AE68" s="55"/>
    </row>
    <row r="69" spans="1:31" s="36" customFormat="1" x14ac:dyDescent="0.25">
      <c r="A69" s="23" t="s">
        <v>61</v>
      </c>
      <c r="B69" s="34">
        <v>7.6473579999999997</v>
      </c>
      <c r="C69" s="34">
        <v>49.365340000000003</v>
      </c>
      <c r="D69" s="34">
        <f t="shared" si="18"/>
        <v>2.6896729127453782</v>
      </c>
      <c r="E69" s="34">
        <v>10.485264000000001</v>
      </c>
      <c r="F69" s="34">
        <v>69.381512000000001</v>
      </c>
      <c r="G69" s="6">
        <f t="shared" si="19"/>
        <v>0.72934339087694877</v>
      </c>
      <c r="H69" s="6">
        <f t="shared" si="20"/>
        <v>0.7115056818018034</v>
      </c>
      <c r="I69" s="34">
        <v>0.85433499999999996</v>
      </c>
      <c r="J69" s="34">
        <v>72.119167000000004</v>
      </c>
      <c r="K69" s="34">
        <f t="shared" si="21"/>
        <v>2.7056269060971552</v>
      </c>
      <c r="L69" s="98">
        <f t="shared" si="16"/>
        <v>1.5953993351776941E-2</v>
      </c>
      <c r="M69" s="8"/>
      <c r="N69" s="8"/>
      <c r="O69" s="14"/>
      <c r="P69" s="54"/>
      <c r="Q69" s="42"/>
      <c r="R69" s="67" t="s">
        <v>61</v>
      </c>
      <c r="S69" s="56">
        <v>5.3689330000000002</v>
      </c>
      <c r="T69" s="56">
        <v>38.197364999999998</v>
      </c>
      <c r="U69" s="56">
        <f t="shared" si="22"/>
        <v>2.9643820755446191</v>
      </c>
      <c r="V69" s="56">
        <v>7.4095490000000002</v>
      </c>
      <c r="W69" s="56">
        <v>53.221342999999997</v>
      </c>
      <c r="X69" s="46">
        <f t="shared" si="23"/>
        <v>0.7245964632935149</v>
      </c>
      <c r="Y69" s="46">
        <f t="shared" si="24"/>
        <v>0.71770764972992129</v>
      </c>
      <c r="Z69" s="56">
        <v>1.0959669999999999</v>
      </c>
      <c r="AA69" s="56">
        <v>77.998666999999998</v>
      </c>
      <c r="AB69" s="56">
        <f t="shared" si="25"/>
        <v>2.2810515970289487</v>
      </c>
      <c r="AC69" s="97">
        <f t="shared" si="17"/>
        <v>-0.68333047851567041</v>
      </c>
      <c r="AD69" s="42"/>
      <c r="AE69" s="55"/>
    </row>
    <row r="70" spans="1:31" s="36" customFormat="1" x14ac:dyDescent="0.25">
      <c r="A70" s="23" t="s">
        <v>62</v>
      </c>
      <c r="B70" s="34">
        <v>2.206E-2</v>
      </c>
      <c r="C70" s="34">
        <v>0.67120299999999999</v>
      </c>
      <c r="D70" s="34">
        <f t="shared" si="18"/>
        <v>12.677602750075552</v>
      </c>
      <c r="E70" s="34">
        <v>2.206E-2</v>
      </c>
      <c r="F70" s="34">
        <v>0.67120299999999999</v>
      </c>
      <c r="G70" s="6">
        <f t="shared" si="19"/>
        <v>1</v>
      </c>
      <c r="H70" s="6">
        <f t="shared" si="20"/>
        <v>1</v>
      </c>
      <c r="I70" s="34">
        <v>2.3084630000000002</v>
      </c>
      <c r="J70" s="34">
        <v>179.29025300000001</v>
      </c>
      <c r="K70" s="34">
        <f t="shared" si="21"/>
        <v>2.4893110558621547</v>
      </c>
      <c r="L70" s="98">
        <f t="shared" si="16"/>
        <v>-10.188291694213397</v>
      </c>
      <c r="M70" s="8"/>
      <c r="N70" s="8"/>
      <c r="O70" s="14"/>
      <c r="P70" s="54"/>
      <c r="Q70" s="42"/>
      <c r="R70" s="67" t="s">
        <v>62</v>
      </c>
      <c r="S70" s="56">
        <v>0</v>
      </c>
      <c r="T70" s="56">
        <v>0</v>
      </c>
      <c r="U70" s="56">
        <v>0</v>
      </c>
      <c r="V70" s="56">
        <v>0</v>
      </c>
      <c r="W70" s="56">
        <v>0</v>
      </c>
      <c r="X70" s="46">
        <v>0</v>
      </c>
      <c r="Y70" s="46">
        <v>0</v>
      </c>
      <c r="Z70" s="56">
        <v>2.5698110000000001</v>
      </c>
      <c r="AA70" s="56">
        <v>173.24931000000001</v>
      </c>
      <c r="AB70" s="56">
        <f t="shared" si="25"/>
        <v>2.16080579466739</v>
      </c>
      <c r="AC70" s="97">
        <f t="shared" si="17"/>
        <v>2.16080579466739</v>
      </c>
      <c r="AD70" s="42"/>
      <c r="AE70" s="55"/>
    </row>
    <row r="71" spans="1:31" s="36" customFormat="1" x14ac:dyDescent="0.25">
      <c r="A71" s="23" t="s">
        <v>63</v>
      </c>
      <c r="B71" s="34">
        <v>18.848706</v>
      </c>
      <c r="C71" s="34">
        <v>95.934977000000003</v>
      </c>
      <c r="D71" s="34">
        <f t="shared" si="18"/>
        <v>2.1207242069208005</v>
      </c>
      <c r="E71" s="34">
        <v>21.453751</v>
      </c>
      <c r="F71" s="34">
        <v>110.025868</v>
      </c>
      <c r="G71" s="6">
        <f t="shared" si="19"/>
        <v>0.87857391465016998</v>
      </c>
      <c r="H71" s="6">
        <f t="shared" si="20"/>
        <v>0.87193110805542562</v>
      </c>
      <c r="I71" s="34">
        <v>0.50629599999999997</v>
      </c>
      <c r="J71" s="34">
        <v>42.404400000000003</v>
      </c>
      <c r="K71" s="34">
        <f t="shared" si="21"/>
        <v>2.6844284462357684</v>
      </c>
      <c r="L71" s="98">
        <f t="shared" si="16"/>
        <v>0.56370423931496783</v>
      </c>
      <c r="M71" s="8"/>
      <c r="N71" s="8"/>
      <c r="O71" s="14"/>
      <c r="P71" s="54"/>
      <c r="Q71" s="42"/>
      <c r="R71" s="67" t="s">
        <v>63</v>
      </c>
      <c r="S71" s="56">
        <v>15.782280999999999</v>
      </c>
      <c r="T71" s="56">
        <v>80.583528000000001</v>
      </c>
      <c r="U71" s="56">
        <f t="shared" si="22"/>
        <v>2.1274789113183323</v>
      </c>
      <c r="V71" s="56">
        <v>17.978283999999999</v>
      </c>
      <c r="W71" s="56">
        <v>94.331677999999997</v>
      </c>
      <c r="X71" s="46">
        <f t="shared" si="23"/>
        <v>0.87785246912330461</v>
      </c>
      <c r="Y71" s="46">
        <f t="shared" si="24"/>
        <v>0.85425733654393388</v>
      </c>
      <c r="Z71" s="56">
        <v>0.56126699999999996</v>
      </c>
      <c r="AA71" s="56">
        <v>39.009715</v>
      </c>
      <c r="AB71" s="56">
        <f t="shared" si="25"/>
        <v>2.2276588115907909</v>
      </c>
      <c r="AC71" s="97">
        <f t="shared" si="17"/>
        <v>0.1001799002724586</v>
      </c>
      <c r="AD71" s="42"/>
      <c r="AE71" s="55"/>
    </row>
    <row r="72" spans="1:31" s="36" customFormat="1" x14ac:dyDescent="0.25">
      <c r="A72" s="23" t="s">
        <v>64</v>
      </c>
      <c r="B72" s="34">
        <v>8.609083</v>
      </c>
      <c r="C72" s="34">
        <v>46.19014</v>
      </c>
      <c r="D72" s="34">
        <f t="shared" si="18"/>
        <v>2.2355332927637783</v>
      </c>
      <c r="E72" s="34">
        <v>12.013178999999999</v>
      </c>
      <c r="F72" s="34">
        <v>64.897729999999996</v>
      </c>
      <c r="G72" s="6">
        <f t="shared" si="19"/>
        <v>0.71663653725629162</v>
      </c>
      <c r="H72" s="6">
        <f t="shared" si="20"/>
        <v>0.71173737509771151</v>
      </c>
      <c r="I72" s="34">
        <v>1.7447299999999999</v>
      </c>
      <c r="J72" s="34">
        <v>145.77675600000001</v>
      </c>
      <c r="K72" s="34">
        <f t="shared" si="21"/>
        <v>2.6779684667982573</v>
      </c>
      <c r="L72" s="98">
        <f t="shared" si="16"/>
        <v>0.44243517403447896</v>
      </c>
      <c r="M72" s="8"/>
      <c r="N72" s="8"/>
      <c r="O72" s="14"/>
      <c r="P72" s="54"/>
      <c r="Q72" s="42"/>
      <c r="R72" s="67" t="s">
        <v>64</v>
      </c>
      <c r="S72" s="56">
        <v>9.755782</v>
      </c>
      <c r="T72" s="56">
        <v>44.231247000000003</v>
      </c>
      <c r="U72" s="56">
        <f t="shared" si="22"/>
        <v>1.8891039436920589</v>
      </c>
      <c r="V72" s="56">
        <v>19.857396999999999</v>
      </c>
      <c r="W72" s="56">
        <v>86.338954999999999</v>
      </c>
      <c r="X72" s="46">
        <f t="shared" si="23"/>
        <v>0.4912920862689103</v>
      </c>
      <c r="Y72" s="46">
        <f t="shared" si="24"/>
        <v>0.51229768764284911</v>
      </c>
      <c r="Z72" s="56">
        <v>1.2594719999999999</v>
      </c>
      <c r="AA72" s="56">
        <v>80.709445000000002</v>
      </c>
      <c r="AB72" s="56">
        <f t="shared" si="25"/>
        <v>2.0539092460153427</v>
      </c>
      <c r="AC72" s="97">
        <f t="shared" si="17"/>
        <v>0.16480530232328383</v>
      </c>
      <c r="AD72" s="42"/>
      <c r="AE72" s="55"/>
    </row>
    <row r="73" spans="1:31" s="36" customFormat="1" x14ac:dyDescent="0.25">
      <c r="A73" s="23" t="s">
        <v>65</v>
      </c>
      <c r="B73" s="34">
        <v>0.121473</v>
      </c>
      <c r="C73" s="34">
        <v>0.99954299999999996</v>
      </c>
      <c r="D73" s="34">
        <f t="shared" si="18"/>
        <v>3.4285499658360292</v>
      </c>
      <c r="E73" s="34">
        <v>0.121473</v>
      </c>
      <c r="F73" s="34">
        <v>0.99954299999999996</v>
      </c>
      <c r="G73" s="6">
        <f t="shared" si="19"/>
        <v>1</v>
      </c>
      <c r="H73" s="6">
        <f t="shared" si="20"/>
        <v>1</v>
      </c>
      <c r="I73" s="34">
        <v>2.6603270000000001</v>
      </c>
      <c r="J73" s="34">
        <v>203.50231099999999</v>
      </c>
      <c r="K73" s="34">
        <f t="shared" si="21"/>
        <v>2.4517700147195129</v>
      </c>
      <c r="L73" s="98">
        <f t="shared" si="16"/>
        <v>-0.97677995111651628</v>
      </c>
      <c r="M73" s="8"/>
      <c r="N73" s="8"/>
      <c r="O73" s="14"/>
      <c r="P73" s="54"/>
      <c r="Q73" s="42"/>
      <c r="R73" s="67" t="s">
        <v>65</v>
      </c>
      <c r="S73" s="56">
        <v>0.149926</v>
      </c>
      <c r="T73" s="56">
        <v>2.5209220000000001</v>
      </c>
      <c r="U73" s="56">
        <f t="shared" si="22"/>
        <v>7.0060174130348756</v>
      </c>
      <c r="V73" s="56">
        <v>0.149926</v>
      </c>
      <c r="W73" s="56">
        <v>2.5209220000000001</v>
      </c>
      <c r="X73" s="46">
        <f t="shared" si="23"/>
        <v>1</v>
      </c>
      <c r="Y73" s="46">
        <f t="shared" si="24"/>
        <v>1</v>
      </c>
      <c r="Z73" s="56">
        <v>2.5126189999999999</v>
      </c>
      <c r="AA73" s="56">
        <v>163.931003</v>
      </c>
      <c r="AB73" s="56">
        <f t="shared" si="25"/>
        <v>2.0911243662897414</v>
      </c>
      <c r="AC73" s="97">
        <f t="shared" si="17"/>
        <v>-4.9148930467451342</v>
      </c>
      <c r="AD73" s="42"/>
      <c r="AE73" s="55"/>
    </row>
    <row r="74" spans="1:31" s="36" customFormat="1" x14ac:dyDescent="0.25">
      <c r="A74" s="23" t="s">
        <v>66</v>
      </c>
      <c r="B74" s="34">
        <v>2.8657699999999999</v>
      </c>
      <c r="C74" s="34">
        <v>12.849883</v>
      </c>
      <c r="D74" s="34">
        <f t="shared" si="18"/>
        <v>1.8682999391670188</v>
      </c>
      <c r="E74" s="34">
        <v>2.9312830000000001</v>
      </c>
      <c r="F74" s="34">
        <v>13.099684</v>
      </c>
      <c r="G74" s="6">
        <f t="shared" si="19"/>
        <v>0.97765040086542299</v>
      </c>
      <c r="H74" s="6">
        <f t="shared" si="20"/>
        <v>0.98093076138325175</v>
      </c>
      <c r="I74" s="34">
        <v>2.7347429999999999</v>
      </c>
      <c r="J74" s="34">
        <v>210.097285</v>
      </c>
      <c r="K74" s="34">
        <f t="shared" si="21"/>
        <v>2.4623474087852459</v>
      </c>
      <c r="L74" s="98">
        <f t="shared" si="16"/>
        <v>0.59404746961822719</v>
      </c>
      <c r="M74" s="8"/>
      <c r="N74" s="8"/>
      <c r="O74" s="14"/>
      <c r="P74" s="54"/>
      <c r="Q74" s="42"/>
      <c r="R74" s="67" t="s">
        <v>66</v>
      </c>
      <c r="S74" s="56">
        <v>5.442399</v>
      </c>
      <c r="T74" s="56">
        <v>22.570608</v>
      </c>
      <c r="U74" s="56">
        <f t="shared" si="22"/>
        <v>1.7279916448610255</v>
      </c>
      <c r="V74" s="56">
        <v>6.1187329999999998</v>
      </c>
      <c r="W74" s="56">
        <v>24.997641000000002</v>
      </c>
      <c r="X74" s="46">
        <f t="shared" si="23"/>
        <v>0.88946502486707624</v>
      </c>
      <c r="Y74" s="46">
        <f t="shared" si="24"/>
        <v>0.90290951854216961</v>
      </c>
      <c r="Z74" s="56">
        <v>2.79156</v>
      </c>
      <c r="AA74" s="56">
        <v>174.44345300000001</v>
      </c>
      <c r="AB74" s="56">
        <f t="shared" si="25"/>
        <v>2.0028716252212257</v>
      </c>
      <c r="AC74" s="97">
        <f t="shared" si="17"/>
        <v>0.27487998036020023</v>
      </c>
      <c r="AD74" s="42"/>
      <c r="AE74" s="55"/>
    </row>
    <row r="75" spans="1:31" s="36" customFormat="1" x14ac:dyDescent="0.25">
      <c r="A75" s="23" t="s">
        <v>67</v>
      </c>
      <c r="B75" s="34">
        <v>9.2030580000000004</v>
      </c>
      <c r="C75" s="34">
        <v>45.977992</v>
      </c>
      <c r="D75" s="34">
        <f t="shared" si="18"/>
        <v>2.081644673614647</v>
      </c>
      <c r="E75" s="34">
        <v>13.605147000000001</v>
      </c>
      <c r="F75" s="34">
        <v>69.638122999999993</v>
      </c>
      <c r="G75" s="6">
        <f t="shared" si="19"/>
        <v>0.67643943869184209</v>
      </c>
      <c r="H75" s="6">
        <f t="shared" si="20"/>
        <v>0.6602416897422696</v>
      </c>
      <c r="I75" s="34">
        <v>1.020756</v>
      </c>
      <c r="J75" s="34">
        <v>78.678807000000006</v>
      </c>
      <c r="K75" s="34">
        <f t="shared" si="21"/>
        <v>2.4704793649171641</v>
      </c>
      <c r="L75" s="98">
        <f t="shared" si="16"/>
        <v>0.38883469130251713</v>
      </c>
      <c r="M75" s="8"/>
      <c r="N75" s="8"/>
      <c r="O75" s="14"/>
      <c r="P75" s="54"/>
      <c r="Q75" s="42"/>
      <c r="R75" s="67" t="s">
        <v>67</v>
      </c>
      <c r="S75" s="56">
        <v>8.5385849999999994</v>
      </c>
      <c r="T75" s="56">
        <v>41.619598000000003</v>
      </c>
      <c r="U75" s="56">
        <f t="shared" si="22"/>
        <v>2.030957022348161</v>
      </c>
      <c r="V75" s="56">
        <v>12.054576000000001</v>
      </c>
      <c r="W75" s="56">
        <v>57.892367</v>
      </c>
      <c r="X75" s="46">
        <f t="shared" si="23"/>
        <v>0.70832727754174007</v>
      </c>
      <c r="Y75" s="46">
        <f t="shared" si="24"/>
        <v>0.71891339319395942</v>
      </c>
      <c r="Z75" s="56">
        <v>1.2411449999999999</v>
      </c>
      <c r="AA75" s="56">
        <v>80.007467000000005</v>
      </c>
      <c r="AB75" s="56">
        <f t="shared" si="25"/>
        <v>2.06610983489088</v>
      </c>
      <c r="AC75" s="97">
        <f t="shared" si="17"/>
        <v>3.5152812542718959E-2</v>
      </c>
      <c r="AD75" s="42"/>
      <c r="AE75" s="55"/>
    </row>
    <row r="76" spans="1:31" s="36" customFormat="1" x14ac:dyDescent="0.25">
      <c r="A76" s="23" t="s">
        <v>68</v>
      </c>
      <c r="B76" s="34">
        <v>3.5006889999999999</v>
      </c>
      <c r="C76" s="34">
        <v>19.170009</v>
      </c>
      <c r="D76" s="34">
        <f t="shared" si="18"/>
        <v>2.2816947606599731</v>
      </c>
      <c r="E76" s="34">
        <v>5.411886</v>
      </c>
      <c r="F76" s="34">
        <v>30.775406</v>
      </c>
      <c r="G76" s="6">
        <f t="shared" si="19"/>
        <v>0.64685194773134536</v>
      </c>
      <c r="H76" s="6">
        <f t="shared" si="20"/>
        <v>0.6229002795284001</v>
      </c>
      <c r="I76" s="34">
        <v>1.6532290000000001</v>
      </c>
      <c r="J76" s="34">
        <v>127.356067</v>
      </c>
      <c r="K76" s="34">
        <f t="shared" si="21"/>
        <v>2.4690621954726018</v>
      </c>
      <c r="L76" s="98">
        <f t="shared" si="16"/>
        <v>0.18736743481262863</v>
      </c>
      <c r="M76" s="8"/>
      <c r="N76" s="8"/>
      <c r="O76" s="14"/>
      <c r="P76" s="54"/>
      <c r="Q76" s="42"/>
      <c r="R76" s="67" t="s">
        <v>68</v>
      </c>
      <c r="S76" s="56">
        <v>5.1936720000000003</v>
      </c>
      <c r="T76" s="56">
        <v>24.67567</v>
      </c>
      <c r="U76" s="56">
        <f t="shared" si="22"/>
        <v>1.9796262002426541</v>
      </c>
      <c r="V76" s="56">
        <v>6.6812589999999998</v>
      </c>
      <c r="W76" s="56">
        <v>32.692467000000001</v>
      </c>
      <c r="X76" s="46">
        <f t="shared" si="23"/>
        <v>0.77734929898691252</v>
      </c>
      <c r="Y76" s="46">
        <f t="shared" si="24"/>
        <v>0.75478152199404225</v>
      </c>
      <c r="Z76" s="56">
        <v>1.7997620000000001</v>
      </c>
      <c r="AA76" s="56">
        <v>114.153476</v>
      </c>
      <c r="AB76" s="56">
        <f t="shared" si="25"/>
        <v>2.0329161613648119</v>
      </c>
      <c r="AC76" s="97">
        <f t="shared" si="17"/>
        <v>5.3289961122157781E-2</v>
      </c>
      <c r="AD76" s="42"/>
      <c r="AE76" s="55"/>
    </row>
    <row r="77" spans="1:31" s="36" customFormat="1" x14ac:dyDescent="0.25">
      <c r="A77" s="23" t="s">
        <v>69</v>
      </c>
      <c r="B77" s="34">
        <v>20.000582999999999</v>
      </c>
      <c r="C77" s="34">
        <v>69.860130999999996</v>
      </c>
      <c r="D77" s="34">
        <f t="shared" si="18"/>
        <v>1.4553769715946114</v>
      </c>
      <c r="E77" s="34">
        <v>34.140883000000002</v>
      </c>
      <c r="F77" s="34">
        <v>137.73464000000001</v>
      </c>
      <c r="G77" s="6">
        <f t="shared" si="19"/>
        <v>0.58582500634210299</v>
      </c>
      <c r="H77" s="6">
        <f t="shared" si="20"/>
        <v>0.5072081431366865</v>
      </c>
      <c r="I77" s="34">
        <v>1.620603</v>
      </c>
      <c r="J77" s="34">
        <v>131.256653</v>
      </c>
      <c r="K77" s="34">
        <f t="shared" si="21"/>
        <v>2.5959127598864473</v>
      </c>
      <c r="L77" s="98">
        <f t="shared" si="16"/>
        <v>1.1405357882918359</v>
      </c>
      <c r="M77" s="8"/>
      <c r="N77" s="8"/>
      <c r="O77" s="14"/>
      <c r="P77" s="54"/>
      <c r="Q77" s="42"/>
      <c r="R77" s="67" t="s">
        <v>69</v>
      </c>
      <c r="S77" s="56">
        <v>24.207507</v>
      </c>
      <c r="T77" s="56">
        <v>78.054896999999997</v>
      </c>
      <c r="U77" s="56">
        <f t="shared" si="22"/>
        <v>1.3435036391810193</v>
      </c>
      <c r="V77" s="56">
        <v>37.158087999999999</v>
      </c>
      <c r="W77" s="56">
        <v>134.34184999999999</v>
      </c>
      <c r="X77" s="46">
        <f t="shared" si="23"/>
        <v>0.6514734288804096</v>
      </c>
      <c r="Y77" s="46">
        <f t="shared" si="24"/>
        <v>0.58101698763266996</v>
      </c>
      <c r="Z77" s="56">
        <v>1.660385</v>
      </c>
      <c r="AA77" s="56">
        <v>113.596321</v>
      </c>
      <c r="AB77" s="56">
        <f t="shared" si="25"/>
        <v>2.1928093329914291</v>
      </c>
      <c r="AC77" s="97">
        <f t="shared" si="17"/>
        <v>0.84930569381040977</v>
      </c>
      <c r="AD77" s="42"/>
      <c r="AE77" s="55"/>
    </row>
    <row r="78" spans="1:31" s="36" customFormat="1" x14ac:dyDescent="0.25">
      <c r="A78" s="23" t="s">
        <v>70</v>
      </c>
      <c r="B78" s="34">
        <v>6.4216870000000004</v>
      </c>
      <c r="C78" s="34">
        <v>22.344016</v>
      </c>
      <c r="D78" s="34">
        <f t="shared" si="18"/>
        <v>1.4497758403152732</v>
      </c>
      <c r="E78" s="34">
        <v>14.437701000000001</v>
      </c>
      <c r="F78" s="34">
        <v>50.355879000000002</v>
      </c>
      <c r="G78" s="6">
        <f t="shared" si="19"/>
        <v>0.44478598081508963</v>
      </c>
      <c r="H78" s="6">
        <f t="shared" si="20"/>
        <v>0.44372209250880118</v>
      </c>
      <c r="I78" s="34">
        <v>1.4173720000000001</v>
      </c>
      <c r="J78" s="34">
        <v>117.21813400000001</v>
      </c>
      <c r="K78" s="34">
        <f t="shared" si="21"/>
        <v>2.6506742579640168</v>
      </c>
      <c r="L78" s="98">
        <f t="shared" si="16"/>
        <v>1.2008984176487436</v>
      </c>
      <c r="M78" s="8"/>
      <c r="N78" s="8"/>
      <c r="O78" s="14"/>
      <c r="P78" s="54"/>
      <c r="Q78" s="42"/>
      <c r="R78" s="67" t="s">
        <v>70</v>
      </c>
      <c r="S78" s="56">
        <v>7.0508490000000004</v>
      </c>
      <c r="T78" s="56">
        <v>26.909469000000001</v>
      </c>
      <c r="U78" s="56">
        <f t="shared" si="22"/>
        <v>1.5902026479364402</v>
      </c>
      <c r="V78" s="56">
        <v>12.435197000000001</v>
      </c>
      <c r="W78" s="56">
        <v>46.565309999999997</v>
      </c>
      <c r="X78" s="46">
        <f t="shared" si="23"/>
        <v>0.56700742256033421</v>
      </c>
      <c r="Y78" s="46">
        <f t="shared" si="24"/>
        <v>0.577886607004227</v>
      </c>
      <c r="Z78" s="56">
        <v>1.4293180000000001</v>
      </c>
      <c r="AA78" s="56">
        <v>100.977064</v>
      </c>
      <c r="AB78" s="56">
        <f t="shared" si="25"/>
        <v>2.2643277136189139</v>
      </c>
      <c r="AC78" s="97">
        <f t="shared" si="17"/>
        <v>0.67412506568247377</v>
      </c>
      <c r="AD78" s="42"/>
      <c r="AE78" s="55"/>
    </row>
    <row r="79" spans="1:31" s="36" customFormat="1" x14ac:dyDescent="0.25">
      <c r="A79" s="23" t="s">
        <v>71</v>
      </c>
      <c r="B79" s="34">
        <v>18.317157000000002</v>
      </c>
      <c r="C79" s="34">
        <v>77.424419</v>
      </c>
      <c r="D79" s="34">
        <f t="shared" si="18"/>
        <v>1.7611998730661822</v>
      </c>
      <c r="E79" s="34">
        <v>22.118967000000001</v>
      </c>
      <c r="F79" s="34">
        <v>96.478443999999996</v>
      </c>
      <c r="G79" s="6">
        <f t="shared" si="19"/>
        <v>0.82811991174813904</v>
      </c>
      <c r="H79" s="6">
        <f t="shared" si="20"/>
        <v>0.80250484761134833</v>
      </c>
      <c r="I79" s="34">
        <v>0.35052100000000003</v>
      </c>
      <c r="J79" s="34">
        <v>28.844460999999999</v>
      </c>
      <c r="K79" s="34">
        <f t="shared" si="21"/>
        <v>2.6375080384005667</v>
      </c>
      <c r="L79" s="98">
        <f t="shared" si="16"/>
        <v>0.87630816533438449</v>
      </c>
      <c r="M79" s="8"/>
      <c r="N79" s="8"/>
      <c r="O79" s="14"/>
      <c r="P79" s="54"/>
      <c r="Q79" s="42"/>
      <c r="R79" s="67" t="s">
        <v>71</v>
      </c>
      <c r="S79" s="56">
        <v>19.668399000000001</v>
      </c>
      <c r="T79" s="56">
        <v>94.092926000000006</v>
      </c>
      <c r="U79" s="56">
        <f t="shared" si="22"/>
        <v>1.9933186139519203</v>
      </c>
      <c r="V79" s="56">
        <v>22.60284</v>
      </c>
      <c r="W79" s="56">
        <v>109.618988</v>
      </c>
      <c r="X79" s="46">
        <f t="shared" si="23"/>
        <v>0.87017379231990322</v>
      </c>
      <c r="Y79" s="46">
        <f t="shared" si="24"/>
        <v>0.85836338864941908</v>
      </c>
      <c r="Z79" s="56">
        <v>0.46315499999999998</v>
      </c>
      <c r="AA79" s="56">
        <v>32.958596999999997</v>
      </c>
      <c r="AB79" s="56">
        <f t="shared" si="25"/>
        <v>2.2808029460149157</v>
      </c>
      <c r="AC79" s="97">
        <f t="shared" si="17"/>
        <v>0.2874843320629954</v>
      </c>
      <c r="AD79" s="42"/>
      <c r="AE79" s="55"/>
    </row>
    <row r="80" spans="1:31" s="36" customFormat="1" x14ac:dyDescent="0.25">
      <c r="A80" s="23" t="s">
        <v>72</v>
      </c>
      <c r="B80" s="34">
        <v>8.9535119999999999</v>
      </c>
      <c r="C80" s="34">
        <v>41.446227</v>
      </c>
      <c r="D80" s="34">
        <f t="shared" si="18"/>
        <v>1.9287695431692058</v>
      </c>
      <c r="E80" s="34">
        <v>11.897601</v>
      </c>
      <c r="F80" s="34">
        <v>54.079397</v>
      </c>
      <c r="G80" s="6">
        <f t="shared" si="19"/>
        <v>0.75254767746876028</v>
      </c>
      <c r="H80" s="6">
        <f t="shared" si="20"/>
        <v>0.76639587900730477</v>
      </c>
      <c r="I80" s="34">
        <v>1.599367</v>
      </c>
      <c r="J80" s="34">
        <v>126.549188</v>
      </c>
      <c r="K80" s="34">
        <f t="shared" si="21"/>
        <v>2.5360431457875006</v>
      </c>
      <c r="L80" s="98">
        <f t="shared" si="16"/>
        <v>0.60727360261829477</v>
      </c>
      <c r="M80" s="8"/>
      <c r="N80" s="8"/>
      <c r="O80" s="14"/>
      <c r="P80" s="54"/>
      <c r="Q80" s="42"/>
      <c r="R80" s="67" t="s">
        <v>72</v>
      </c>
      <c r="S80" s="56">
        <v>8.4284099999999995</v>
      </c>
      <c r="T80" s="56">
        <v>40.480642000000003</v>
      </c>
      <c r="U80" s="56">
        <f t="shared" si="22"/>
        <v>2.0012000088589268</v>
      </c>
      <c r="V80" s="56">
        <v>11.287755000000001</v>
      </c>
      <c r="W80" s="56">
        <v>53.042850000000001</v>
      </c>
      <c r="X80" s="46">
        <f t="shared" si="23"/>
        <v>0.74668612137665979</v>
      </c>
      <c r="Y80" s="46">
        <f t="shared" si="24"/>
        <v>0.76316868343235711</v>
      </c>
      <c r="Z80" s="56">
        <v>1.7820199999999999</v>
      </c>
      <c r="AA80" s="56">
        <v>118.15575</v>
      </c>
      <c r="AB80" s="56">
        <f t="shared" si="25"/>
        <v>2.1251407218946863</v>
      </c>
      <c r="AC80" s="97">
        <f t="shared" si="17"/>
        <v>0.12394071303575949</v>
      </c>
      <c r="AD80" s="42"/>
      <c r="AE80" s="55"/>
    </row>
    <row r="81" spans="1:31" s="36" customFormat="1" x14ac:dyDescent="0.25">
      <c r="A81" s="23" t="s">
        <v>73</v>
      </c>
      <c r="B81" s="34">
        <v>7.6691950000000002</v>
      </c>
      <c r="C81" s="34">
        <v>36.320413000000002</v>
      </c>
      <c r="D81" s="34">
        <f t="shared" si="18"/>
        <v>1.9732847341431097</v>
      </c>
      <c r="E81" s="34">
        <v>19.000554000000001</v>
      </c>
      <c r="F81" s="34">
        <v>75.806149000000005</v>
      </c>
      <c r="G81" s="6">
        <f t="shared" si="19"/>
        <v>0.40363007310207899</v>
      </c>
      <c r="H81" s="6">
        <f t="shared" si="20"/>
        <v>0.47912225431739053</v>
      </c>
      <c r="I81" s="34">
        <v>1.8673569999999999</v>
      </c>
      <c r="J81" s="34">
        <v>148.98892499999999</v>
      </c>
      <c r="K81" s="34">
        <f t="shared" si="21"/>
        <v>2.5572432361312312</v>
      </c>
      <c r="L81" s="98">
        <f t="shared" si="16"/>
        <v>0.58395850198812149</v>
      </c>
      <c r="M81" s="8"/>
      <c r="N81" s="8"/>
      <c r="O81" s="14"/>
      <c r="P81" s="54"/>
      <c r="Q81" s="42"/>
      <c r="R81" s="67" t="s">
        <v>73</v>
      </c>
      <c r="S81" s="56">
        <v>8.8422789999999996</v>
      </c>
      <c r="T81" s="56">
        <v>42.313279000000001</v>
      </c>
      <c r="U81" s="56">
        <f t="shared" si="22"/>
        <v>1.9938901403887694</v>
      </c>
      <c r="V81" s="56">
        <v>19.055631000000002</v>
      </c>
      <c r="W81" s="56">
        <v>74.047274999999999</v>
      </c>
      <c r="X81" s="46">
        <f t="shared" si="23"/>
        <v>0.46402446604890696</v>
      </c>
      <c r="Y81" s="46">
        <f t="shared" si="24"/>
        <v>0.57143600490362412</v>
      </c>
      <c r="Z81" s="56">
        <v>2.090827</v>
      </c>
      <c r="AA81" s="56">
        <v>137.714123</v>
      </c>
      <c r="AB81" s="56">
        <f t="shared" si="25"/>
        <v>2.1110853259107274</v>
      </c>
      <c r="AC81" s="97">
        <f t="shared" si="17"/>
        <v>0.11719518552195796</v>
      </c>
      <c r="AD81" s="42"/>
      <c r="AE81" s="55"/>
    </row>
    <row r="82" spans="1:31" s="36" customFormat="1" x14ac:dyDescent="0.25">
      <c r="A82" s="23" t="s">
        <v>74</v>
      </c>
      <c r="B82" s="34">
        <v>1.9985580000000001</v>
      </c>
      <c r="C82" s="34">
        <v>16.988216999999999</v>
      </c>
      <c r="D82" s="34">
        <f t="shared" si="18"/>
        <v>3.5417654879167881</v>
      </c>
      <c r="E82" s="34">
        <v>2.8857050000000002</v>
      </c>
      <c r="F82" s="34">
        <v>22.891905000000001</v>
      </c>
      <c r="G82" s="6">
        <f t="shared" si="19"/>
        <v>0.69257183253312449</v>
      </c>
      <c r="H82" s="6">
        <f t="shared" si="20"/>
        <v>0.74210586668082001</v>
      </c>
      <c r="I82" s="34">
        <v>1.4241680000000001</v>
      </c>
      <c r="J82" s="34">
        <v>128.18158199999999</v>
      </c>
      <c r="K82" s="34">
        <f t="shared" si="21"/>
        <v>2.8847608136550869</v>
      </c>
      <c r="L82" s="98">
        <f t="shared" si="16"/>
        <v>-0.65700467426170128</v>
      </c>
      <c r="M82" s="8"/>
      <c r="N82" s="8"/>
      <c r="O82" s="14"/>
      <c r="P82" s="54"/>
      <c r="Q82" s="42"/>
      <c r="R82" s="67" t="s">
        <v>74</v>
      </c>
      <c r="S82" s="56">
        <v>0.90024499999999996</v>
      </c>
      <c r="T82" s="56">
        <v>6.138363</v>
      </c>
      <c r="U82" s="56">
        <f t="shared" si="22"/>
        <v>2.8410613221956247</v>
      </c>
      <c r="V82" s="56">
        <v>0.98732799999999998</v>
      </c>
      <c r="W82" s="56">
        <v>6.9938659999999997</v>
      </c>
      <c r="X82" s="46">
        <f t="shared" si="23"/>
        <v>0.91179932099565697</v>
      </c>
      <c r="Y82" s="46">
        <f t="shared" si="24"/>
        <v>0.87767809677794806</v>
      </c>
      <c r="Z82" s="56">
        <v>1.9202049999999999</v>
      </c>
      <c r="AA82" s="56">
        <v>141.69299000000001</v>
      </c>
      <c r="AB82" s="56">
        <f t="shared" si="25"/>
        <v>2.3650818465629908</v>
      </c>
      <c r="AC82" s="97">
        <f t="shared" si="17"/>
        <v>-0.47597947563263387</v>
      </c>
      <c r="AD82" s="42"/>
      <c r="AE82" s="55"/>
    </row>
    <row r="83" spans="1:31" s="36" customFormat="1" x14ac:dyDescent="0.25">
      <c r="A83" s="23" t="s">
        <v>75</v>
      </c>
      <c r="B83" s="34">
        <v>3.1650320000000001</v>
      </c>
      <c r="C83" s="34">
        <v>19.459416999999998</v>
      </c>
      <c r="D83" s="34">
        <f t="shared" si="18"/>
        <v>2.5617720189453586</v>
      </c>
      <c r="E83" s="34">
        <v>8.0553229999999996</v>
      </c>
      <c r="F83" s="34">
        <v>46.039431999999998</v>
      </c>
      <c r="G83" s="6">
        <f t="shared" si="19"/>
        <v>0.3929118670970736</v>
      </c>
      <c r="H83" s="6">
        <f t="shared" si="20"/>
        <v>0.42266848557123815</v>
      </c>
      <c r="I83" s="34">
        <v>1.7049669999999999</v>
      </c>
      <c r="J83" s="34">
        <v>187.61265</v>
      </c>
      <c r="K83" s="34">
        <f t="shared" si="21"/>
        <v>3.526887008099548</v>
      </c>
      <c r="L83" s="98">
        <f t="shared" si="16"/>
        <v>0.96511498915418947</v>
      </c>
      <c r="M83" s="8"/>
      <c r="N83" s="8"/>
      <c r="O83" s="14"/>
      <c r="P83" s="54"/>
      <c r="Q83" s="42"/>
      <c r="R83" s="67" t="s">
        <v>75</v>
      </c>
      <c r="S83" s="56">
        <v>8.8988530000000008</v>
      </c>
      <c r="T83" s="56">
        <v>40.957216000000003</v>
      </c>
      <c r="U83" s="56">
        <f t="shared" si="22"/>
        <v>1.917719808009714</v>
      </c>
      <c r="V83" s="56">
        <v>11.577515999999999</v>
      </c>
      <c r="W83" s="56">
        <v>55.590539</v>
      </c>
      <c r="X83" s="46">
        <f t="shared" si="23"/>
        <v>0.76863232147552218</v>
      </c>
      <c r="Y83" s="46">
        <f t="shared" si="24"/>
        <v>0.73676594501089476</v>
      </c>
      <c r="Z83" s="56">
        <v>0.97101199999999999</v>
      </c>
      <c r="AA83" s="56">
        <v>98.019363999999996</v>
      </c>
      <c r="AB83" s="56">
        <f t="shared" si="25"/>
        <v>3.2354350739756894</v>
      </c>
      <c r="AC83" s="97">
        <f t="shared" si="17"/>
        <v>1.3177152659659754</v>
      </c>
      <c r="AD83" s="42"/>
      <c r="AE83" s="55"/>
    </row>
    <row r="84" spans="1:31" s="36" customFormat="1" x14ac:dyDescent="0.25">
      <c r="A84" s="23" t="s">
        <v>76</v>
      </c>
      <c r="B84" s="34">
        <v>11.76801</v>
      </c>
      <c r="C84" s="34">
        <v>48.111505000000001</v>
      </c>
      <c r="D84" s="34">
        <f t="shared" si="18"/>
        <v>1.7034707156661717</v>
      </c>
      <c r="E84" s="34">
        <v>15.62632</v>
      </c>
      <c r="F84" s="34">
        <v>62.527672000000003</v>
      </c>
      <c r="G84" s="6">
        <f t="shared" si="19"/>
        <v>0.75308901903967151</v>
      </c>
      <c r="H84" s="6">
        <f t="shared" si="20"/>
        <v>0.76944340739249018</v>
      </c>
      <c r="I84" s="34">
        <v>0.55965900000000002</v>
      </c>
      <c r="J84" s="34">
        <v>44.681054000000003</v>
      </c>
      <c r="K84" s="34">
        <f t="shared" si="21"/>
        <v>2.5588529159766287</v>
      </c>
      <c r="L84" s="98">
        <f t="shared" si="16"/>
        <v>0.85538220031045697</v>
      </c>
      <c r="M84" s="8"/>
      <c r="N84" s="8"/>
      <c r="O84" s="14"/>
      <c r="P84" s="54"/>
      <c r="Q84" s="42"/>
      <c r="R84" s="67" t="s">
        <v>76</v>
      </c>
      <c r="S84" s="56">
        <v>10.888496</v>
      </c>
      <c r="T84" s="56">
        <v>44.944902999999996</v>
      </c>
      <c r="U84" s="56">
        <f t="shared" si="22"/>
        <v>1.7198925284691904</v>
      </c>
      <c r="V84" s="56">
        <v>12.569068</v>
      </c>
      <c r="W84" s="56">
        <v>52.281022999999998</v>
      </c>
      <c r="X84" s="46">
        <f t="shared" si="23"/>
        <v>0.86629302984119427</v>
      </c>
      <c r="Y84" s="46">
        <f t="shared" si="24"/>
        <v>0.85967910383084889</v>
      </c>
      <c r="Z84" s="56">
        <v>0.78443099999999999</v>
      </c>
      <c r="AA84" s="56">
        <v>51.946527000000003</v>
      </c>
      <c r="AB84" s="56">
        <f t="shared" si="25"/>
        <v>2.1224974388589164</v>
      </c>
      <c r="AC84" s="97">
        <f t="shared" si="17"/>
        <v>0.40260491038972601</v>
      </c>
      <c r="AD84" s="42"/>
      <c r="AE84" s="55"/>
    </row>
    <row r="85" spans="1:31" s="36" customFormat="1" x14ac:dyDescent="0.25">
      <c r="A85" s="23" t="s">
        <v>77</v>
      </c>
      <c r="B85" s="34">
        <v>7.4046779999999996</v>
      </c>
      <c r="C85" s="34">
        <v>31.751300000000001</v>
      </c>
      <c r="D85" s="34">
        <f t="shared" si="18"/>
        <v>1.7866689589112903</v>
      </c>
      <c r="E85" s="34">
        <v>10.982248</v>
      </c>
      <c r="F85" s="34">
        <v>46.600971999999999</v>
      </c>
      <c r="G85" s="6">
        <f t="shared" si="19"/>
        <v>0.67424064727003064</v>
      </c>
      <c r="H85" s="6">
        <f t="shared" si="20"/>
        <v>0.68134415737079479</v>
      </c>
      <c r="I85" s="34">
        <v>1.5246189999999999</v>
      </c>
      <c r="J85" s="34">
        <v>120.678786</v>
      </c>
      <c r="K85" s="34">
        <f t="shared" si="21"/>
        <v>2.5369681262612547</v>
      </c>
      <c r="L85" s="98">
        <f t="shared" si="16"/>
        <v>0.75029916734996438</v>
      </c>
      <c r="M85" s="8"/>
      <c r="N85" s="8"/>
      <c r="O85" s="14"/>
      <c r="P85" s="54"/>
      <c r="Q85" s="42"/>
      <c r="R85" s="67" t="s">
        <v>77</v>
      </c>
      <c r="S85" s="56">
        <v>7.8233550000000003</v>
      </c>
      <c r="T85" s="56">
        <v>31.224513000000002</v>
      </c>
      <c r="U85" s="56">
        <f t="shared" si="22"/>
        <v>1.6629967258292639</v>
      </c>
      <c r="V85" s="56">
        <v>11.000721</v>
      </c>
      <c r="W85" s="56">
        <v>42.932147999999998</v>
      </c>
      <c r="X85" s="46">
        <f t="shared" si="23"/>
        <v>0.71116747711354555</v>
      </c>
      <c r="Y85" s="46">
        <f t="shared" si="24"/>
        <v>0.7272991092828619</v>
      </c>
      <c r="Z85" s="56">
        <v>1.644342</v>
      </c>
      <c r="AA85" s="56">
        <v>106.695492</v>
      </c>
      <c r="AB85" s="56">
        <f t="shared" si="25"/>
        <v>2.0796934626083305</v>
      </c>
      <c r="AC85" s="97">
        <f t="shared" si="17"/>
        <v>0.4166967367790666</v>
      </c>
      <c r="AD85" s="42"/>
      <c r="AE85" s="55"/>
    </row>
    <row r="86" spans="1:31" s="36" customFormat="1" x14ac:dyDescent="0.25">
      <c r="A86" s="23" t="s">
        <v>78</v>
      </c>
      <c r="B86" s="34">
        <v>3.654795</v>
      </c>
      <c r="C86" s="34">
        <v>27.040182999999999</v>
      </c>
      <c r="D86" s="34">
        <f t="shared" si="18"/>
        <v>3.0827291042771665</v>
      </c>
      <c r="E86" s="34">
        <v>5.5214629999999998</v>
      </c>
      <c r="F86" s="34">
        <v>39.608677</v>
      </c>
      <c r="G86" s="6">
        <f t="shared" si="19"/>
        <v>0.66192510934149162</v>
      </c>
      <c r="H86" s="6">
        <f t="shared" si="20"/>
        <v>0.6826833170923633</v>
      </c>
      <c r="I86" s="34">
        <v>1.445872</v>
      </c>
      <c r="J86" s="34">
        <v>126.26164199999999</v>
      </c>
      <c r="K86" s="34">
        <f t="shared" si="21"/>
        <v>2.7988974819347763</v>
      </c>
      <c r="L86" s="98">
        <f t="shared" si="16"/>
        <v>-0.28383162234239023</v>
      </c>
      <c r="M86" s="8"/>
      <c r="N86" s="8"/>
      <c r="O86" s="14"/>
      <c r="P86" s="54"/>
      <c r="Q86" s="42"/>
      <c r="R86" s="67" t="s">
        <v>78</v>
      </c>
      <c r="S86" s="56">
        <v>4.209441</v>
      </c>
      <c r="T86" s="56">
        <v>24.149006</v>
      </c>
      <c r="U86" s="56">
        <f t="shared" si="22"/>
        <v>2.3903615309807962</v>
      </c>
      <c r="V86" s="56">
        <v>5.1582819999999998</v>
      </c>
      <c r="W86" s="56">
        <v>31.159044999999999</v>
      </c>
      <c r="X86" s="46">
        <f t="shared" si="23"/>
        <v>0.81605484151506258</v>
      </c>
      <c r="Y86" s="46">
        <f t="shared" si="24"/>
        <v>0.77502394569538313</v>
      </c>
      <c r="Z86" s="56">
        <v>1.620147</v>
      </c>
      <c r="AA86" s="56">
        <v>128.776388</v>
      </c>
      <c r="AB86" s="56">
        <f t="shared" si="25"/>
        <v>2.5475764441950846</v>
      </c>
      <c r="AC86" s="97">
        <f t="shared" si="17"/>
        <v>0.15721491321428838</v>
      </c>
      <c r="AD86" s="42"/>
      <c r="AE86" s="55"/>
    </row>
    <row r="87" spans="1:31" s="36" customFormat="1" x14ac:dyDescent="0.25">
      <c r="A87" s="23" t="s">
        <v>79</v>
      </c>
      <c r="B87" s="34">
        <v>14.880504999999999</v>
      </c>
      <c r="C87" s="34">
        <v>62.402251</v>
      </c>
      <c r="D87" s="34">
        <f t="shared" si="18"/>
        <v>1.7473155592949747</v>
      </c>
      <c r="E87" s="34">
        <v>21.39011</v>
      </c>
      <c r="F87" s="34">
        <v>86.198094999999995</v>
      </c>
      <c r="G87" s="6">
        <f t="shared" si="19"/>
        <v>0.69567220551927966</v>
      </c>
      <c r="H87" s="6">
        <f t="shared" si="20"/>
        <v>0.72394002442861416</v>
      </c>
      <c r="I87" s="34">
        <v>0.43230000000000002</v>
      </c>
      <c r="J87" s="34">
        <v>36.466338999999998</v>
      </c>
      <c r="K87" s="34">
        <f t="shared" si="21"/>
        <v>2.7036616161616163</v>
      </c>
      <c r="L87" s="98">
        <f t="shared" si="16"/>
        <v>0.95634605686664154</v>
      </c>
      <c r="M87" s="8"/>
      <c r="N87" s="8"/>
      <c r="O87" s="14"/>
      <c r="P87" s="54"/>
      <c r="Q87" s="42"/>
      <c r="R87" s="67" t="s">
        <v>79</v>
      </c>
      <c r="S87" s="56">
        <v>11.779287</v>
      </c>
      <c r="T87" s="56">
        <v>64.601339999999993</v>
      </c>
      <c r="U87" s="56">
        <f t="shared" si="22"/>
        <v>2.2851319438943967</v>
      </c>
      <c r="V87" s="56">
        <v>22.514935999999999</v>
      </c>
      <c r="W87" s="56">
        <v>104.225373</v>
      </c>
      <c r="X87" s="46">
        <f t="shared" si="23"/>
        <v>0.5231765704330672</v>
      </c>
      <c r="Y87" s="46">
        <f t="shared" si="24"/>
        <v>0.61982354335157896</v>
      </c>
      <c r="Z87" s="56">
        <v>0.49035499999999999</v>
      </c>
      <c r="AA87" s="56">
        <v>36.847757999999999</v>
      </c>
      <c r="AB87" s="56">
        <f t="shared" si="25"/>
        <v>2.4084956503255492</v>
      </c>
      <c r="AC87" s="97">
        <f t="shared" si="17"/>
        <v>0.12336370643115258</v>
      </c>
      <c r="AD87" s="42"/>
      <c r="AE87" s="55"/>
    </row>
    <row r="88" spans="1:31" s="36" customFormat="1" x14ac:dyDescent="0.25">
      <c r="A88" s="23" t="s">
        <v>80</v>
      </c>
      <c r="B88" s="34">
        <v>1.757271</v>
      </c>
      <c r="C88" s="34">
        <v>6.7776449999999997</v>
      </c>
      <c r="D88" s="34">
        <f t="shared" si="18"/>
        <v>1.6070479453652853</v>
      </c>
      <c r="E88" s="34">
        <v>6.4564940000000002</v>
      </c>
      <c r="F88" s="34">
        <v>24.928813000000002</v>
      </c>
      <c r="G88" s="6">
        <f t="shared" si="19"/>
        <v>0.27217108851955873</v>
      </c>
      <c r="H88" s="6">
        <f t="shared" si="20"/>
        <v>0.27187997278490555</v>
      </c>
      <c r="I88" s="34">
        <v>3.440242</v>
      </c>
      <c r="J88" s="34">
        <v>238.47005300000001</v>
      </c>
      <c r="K88" s="34">
        <f t="shared" si="21"/>
        <v>2.2217247883977871</v>
      </c>
      <c r="L88" s="98">
        <f t="shared" si="16"/>
        <v>0.61467684303250181</v>
      </c>
      <c r="M88" s="8"/>
      <c r="N88" s="8"/>
      <c r="O88" s="14"/>
      <c r="P88" s="54"/>
      <c r="Q88" s="42"/>
      <c r="R88" s="67" t="s">
        <v>80</v>
      </c>
      <c r="S88" s="56">
        <v>1.155592</v>
      </c>
      <c r="T88" s="56">
        <v>4.2259399999999996</v>
      </c>
      <c r="U88" s="56">
        <f t="shared" si="22"/>
        <v>1.5237283862585871</v>
      </c>
      <c r="V88" s="56">
        <v>2.8368959999999999</v>
      </c>
      <c r="W88" s="56">
        <v>12.94519</v>
      </c>
      <c r="X88" s="46">
        <f t="shared" si="23"/>
        <v>0.40734380111220153</v>
      </c>
      <c r="Y88" s="46">
        <f t="shared" si="24"/>
        <v>0.32644866548888041</v>
      </c>
      <c r="Z88" s="56">
        <v>3.0943930000000002</v>
      </c>
      <c r="AA88" s="56">
        <v>209.542134</v>
      </c>
      <c r="AB88" s="56">
        <f t="shared" si="25"/>
        <v>2.1704075850939226</v>
      </c>
      <c r="AC88" s="97">
        <f t="shared" si="17"/>
        <v>0.64667919883533553</v>
      </c>
      <c r="AD88" s="42"/>
      <c r="AE88" s="55"/>
    </row>
    <row r="89" spans="1:31" s="36" customFormat="1" x14ac:dyDescent="0.25">
      <c r="A89" s="23" t="s">
        <v>81</v>
      </c>
      <c r="B89" s="34">
        <v>3.7704970000000002</v>
      </c>
      <c r="C89" s="34">
        <v>14.271895000000001</v>
      </c>
      <c r="D89" s="34">
        <f t="shared" si="18"/>
        <v>1.5771456433108597</v>
      </c>
      <c r="E89" s="34">
        <v>52.378334000000002</v>
      </c>
      <c r="F89" s="34">
        <v>156.287724</v>
      </c>
      <c r="G89" s="6">
        <f t="shared" si="19"/>
        <v>7.1985813829053821E-2</v>
      </c>
      <c r="H89" s="6">
        <f t="shared" si="20"/>
        <v>9.1318080747020164E-2</v>
      </c>
      <c r="I89" s="34">
        <v>0.74771500000000002</v>
      </c>
      <c r="J89" s="34">
        <v>64.43759</v>
      </c>
      <c r="K89" s="34">
        <f t="shared" si="21"/>
        <v>2.7621585387411938</v>
      </c>
      <c r="L89" s="98">
        <f t="shared" si="16"/>
        <v>1.1850128954303341</v>
      </c>
      <c r="M89" s="8"/>
      <c r="N89" s="8"/>
      <c r="O89" s="14"/>
      <c r="P89" s="54"/>
      <c r="Q89" s="42"/>
      <c r="R89" s="67" t="s">
        <v>81</v>
      </c>
      <c r="S89" s="56">
        <v>1.3742300000000001</v>
      </c>
      <c r="T89" s="56">
        <v>5.0639110000000001</v>
      </c>
      <c r="U89" s="56">
        <f t="shared" si="22"/>
        <v>1.5353782966946339</v>
      </c>
      <c r="V89" s="56">
        <v>48.322875000000003</v>
      </c>
      <c r="W89" s="56">
        <v>142.60836900000001</v>
      </c>
      <c r="X89" s="46">
        <f t="shared" si="23"/>
        <v>2.8438498330242146E-2</v>
      </c>
      <c r="Y89" s="46">
        <f t="shared" si="24"/>
        <v>3.5509213347780448E-2</v>
      </c>
      <c r="Z89" s="56">
        <v>1.0397639999999999</v>
      </c>
      <c r="AA89" s="56">
        <v>83.589769000000004</v>
      </c>
      <c r="AB89" s="56">
        <f t="shared" si="25"/>
        <v>2.5766993883424631</v>
      </c>
      <c r="AC89" s="97">
        <f t="shared" si="17"/>
        <v>1.0413210916478293</v>
      </c>
      <c r="AD89" s="42"/>
      <c r="AE89" s="55"/>
    </row>
    <row r="90" spans="1:31" s="36" customFormat="1" x14ac:dyDescent="0.25">
      <c r="A90" s="23" t="s">
        <v>82</v>
      </c>
      <c r="B90" s="34">
        <v>31.886552999999999</v>
      </c>
      <c r="C90" s="34">
        <v>129.10338200000001</v>
      </c>
      <c r="D90" s="34">
        <f t="shared" si="18"/>
        <v>1.6870144550692996</v>
      </c>
      <c r="E90" s="34">
        <v>35.119627999999999</v>
      </c>
      <c r="F90" s="34">
        <v>141.32678899999999</v>
      </c>
      <c r="G90" s="6">
        <f t="shared" si="19"/>
        <v>0.90794108069709623</v>
      </c>
      <c r="H90" s="6">
        <f t="shared" si="20"/>
        <v>0.91350962484543552</v>
      </c>
      <c r="I90" s="34">
        <v>0.61539299999999997</v>
      </c>
      <c r="J90" s="34">
        <v>48.782110000000003</v>
      </c>
      <c r="K90" s="34">
        <f t="shared" si="21"/>
        <v>2.5407002787920354</v>
      </c>
      <c r="L90" s="98">
        <f t="shared" si="16"/>
        <v>0.85368582372273583</v>
      </c>
      <c r="M90" s="8"/>
      <c r="N90" s="8"/>
      <c r="O90" s="14"/>
      <c r="P90" s="54"/>
      <c r="Q90" s="42"/>
      <c r="R90" s="67" t="s">
        <v>82</v>
      </c>
      <c r="S90" s="56">
        <v>29.179815000000001</v>
      </c>
      <c r="T90" s="56">
        <v>124.74203799999999</v>
      </c>
      <c r="U90" s="56">
        <f t="shared" si="22"/>
        <v>1.7812261375429099</v>
      </c>
      <c r="V90" s="56">
        <v>33.194298000000003</v>
      </c>
      <c r="W90" s="56">
        <v>138.86488199999999</v>
      </c>
      <c r="X90" s="46">
        <f t="shared" si="23"/>
        <v>0.87906106645183457</v>
      </c>
      <c r="Y90" s="46">
        <f t="shared" si="24"/>
        <v>0.89829794404030816</v>
      </c>
      <c r="Z90" s="56">
        <v>0.70893099999999998</v>
      </c>
      <c r="AA90" s="56">
        <v>46.895696999999998</v>
      </c>
      <c r="AB90" s="56">
        <f t="shared" si="25"/>
        <v>2.1201882997618404</v>
      </c>
      <c r="AC90" s="97">
        <f t="shared" si="17"/>
        <v>0.3389621622189305</v>
      </c>
      <c r="AD90" s="42"/>
      <c r="AE90" s="55"/>
    </row>
    <row r="91" spans="1:31" s="36" customFormat="1" x14ac:dyDescent="0.25">
      <c r="A91" s="23" t="s">
        <v>83</v>
      </c>
      <c r="B91" s="34">
        <v>2.0223360000000001</v>
      </c>
      <c r="C91" s="34">
        <v>14.425487</v>
      </c>
      <c r="D91" s="34">
        <f t="shared" si="18"/>
        <v>2.9721171869231093</v>
      </c>
      <c r="E91" s="34">
        <v>2.0336110000000001</v>
      </c>
      <c r="F91" s="34">
        <v>14.481864</v>
      </c>
      <c r="G91" s="6">
        <f t="shared" si="19"/>
        <v>0.99445567515124578</v>
      </c>
      <c r="H91" s="6">
        <f t="shared" si="20"/>
        <v>0.99610706190860521</v>
      </c>
      <c r="I91" s="34">
        <v>2.5695199999999998</v>
      </c>
      <c r="J91" s="34">
        <v>202.817792</v>
      </c>
      <c r="K91" s="34">
        <f t="shared" si="21"/>
        <v>2.5298772752927619</v>
      </c>
      <c r="L91" s="98">
        <f t="shared" si="16"/>
        <v>-0.44223991163034748</v>
      </c>
      <c r="M91" s="8"/>
      <c r="N91" s="8"/>
      <c r="O91" s="14"/>
      <c r="P91" s="54"/>
      <c r="Q91" s="42"/>
      <c r="R91" s="67" t="s">
        <v>83</v>
      </c>
      <c r="S91" s="56">
        <v>2.1304509999999999</v>
      </c>
      <c r="T91" s="56">
        <v>25.697448999999999</v>
      </c>
      <c r="U91" s="56">
        <f t="shared" si="22"/>
        <v>5.0258233663513812</v>
      </c>
      <c r="V91" s="56">
        <v>2.1304509999999999</v>
      </c>
      <c r="W91" s="56">
        <v>25.697448999999999</v>
      </c>
      <c r="X91" s="46">
        <f t="shared" si="23"/>
        <v>1</v>
      </c>
      <c r="Y91" s="46">
        <f t="shared" si="24"/>
        <v>1</v>
      </c>
      <c r="Z91" s="56">
        <v>2.3396409999999999</v>
      </c>
      <c r="AA91" s="56">
        <v>159.17594700000001</v>
      </c>
      <c r="AB91" s="56">
        <f t="shared" si="25"/>
        <v>2.1805880359751448</v>
      </c>
      <c r="AC91" s="97">
        <f t="shared" si="17"/>
        <v>-2.8452353303762363</v>
      </c>
      <c r="AD91" s="42"/>
      <c r="AE91" s="55"/>
    </row>
    <row r="92" spans="1:31" s="36" customFormat="1" x14ac:dyDescent="0.25">
      <c r="A92" s="23" t="s">
        <v>84</v>
      </c>
      <c r="B92" s="34">
        <v>3.1965319999999999</v>
      </c>
      <c r="C92" s="34">
        <v>19.490976</v>
      </c>
      <c r="D92" s="34">
        <f t="shared" si="18"/>
        <v>2.5406409195966129</v>
      </c>
      <c r="E92" s="34">
        <v>4.0193950000000003</v>
      </c>
      <c r="F92" s="34">
        <v>23.969802999999999</v>
      </c>
      <c r="G92" s="6">
        <f t="shared" si="19"/>
        <v>0.79527690112566685</v>
      </c>
      <c r="H92" s="6">
        <f t="shared" si="20"/>
        <v>0.81314710846810045</v>
      </c>
      <c r="I92" s="34">
        <v>2.318546</v>
      </c>
      <c r="J92" s="34">
        <v>184.61573200000001</v>
      </c>
      <c r="K92" s="34">
        <f t="shared" si="21"/>
        <v>2.552104162451768</v>
      </c>
      <c r="L92" s="98">
        <f t="shared" si="16"/>
        <v>1.1463242855155098E-2</v>
      </c>
      <c r="M92" s="8"/>
      <c r="N92" s="8"/>
      <c r="O92" s="14"/>
      <c r="P92" s="54"/>
      <c r="Q92" s="42"/>
      <c r="R92" s="67" t="s">
        <v>84</v>
      </c>
      <c r="S92" s="56">
        <v>2.879521</v>
      </c>
      <c r="T92" s="56">
        <v>21.115379000000001</v>
      </c>
      <c r="U92" s="56">
        <f t="shared" si="22"/>
        <v>3.0553951797307031</v>
      </c>
      <c r="V92" s="56">
        <v>3.3765399999999999</v>
      </c>
      <c r="W92" s="56">
        <v>24.316337999999998</v>
      </c>
      <c r="X92" s="46">
        <f t="shared" si="23"/>
        <v>0.85280227688699084</v>
      </c>
      <c r="Y92" s="46">
        <f t="shared" si="24"/>
        <v>0.86836179855700324</v>
      </c>
      <c r="Z92" s="56">
        <v>2.3933279999999999</v>
      </c>
      <c r="AA92" s="56">
        <v>154.86707699999999</v>
      </c>
      <c r="AB92" s="56">
        <f t="shared" si="25"/>
        <v>2.0739691197297718</v>
      </c>
      <c r="AC92" s="97">
        <f t="shared" si="17"/>
        <v>-0.98142606000093124</v>
      </c>
      <c r="AD92" s="42"/>
      <c r="AE92" s="55"/>
    </row>
    <row r="93" spans="1:31" s="36" customFormat="1" x14ac:dyDescent="0.25">
      <c r="A93" s="23" t="s">
        <v>85</v>
      </c>
      <c r="B93" s="34">
        <v>10.464968000000001</v>
      </c>
      <c r="C93" s="34">
        <v>44.999693000000001</v>
      </c>
      <c r="D93" s="34">
        <f t="shared" si="18"/>
        <v>1.7916798296309491</v>
      </c>
      <c r="E93" s="34">
        <v>21.415692</v>
      </c>
      <c r="F93" s="34">
        <v>98.954327000000006</v>
      </c>
      <c r="G93" s="6">
        <f t="shared" si="19"/>
        <v>0.48865887686468412</v>
      </c>
      <c r="H93" s="6">
        <f t="shared" si="20"/>
        <v>0.45475215045421913</v>
      </c>
      <c r="I93" s="34">
        <v>0.83601899999999996</v>
      </c>
      <c r="J93" s="34">
        <v>64.987556999999995</v>
      </c>
      <c r="K93" s="34">
        <f t="shared" si="21"/>
        <v>2.4914918431647712</v>
      </c>
      <c r="L93" s="98">
        <f t="shared" si="16"/>
        <v>0.69981201353382216</v>
      </c>
      <c r="M93" s="8"/>
      <c r="N93" s="8"/>
      <c r="O93" s="14"/>
      <c r="P93" s="54"/>
      <c r="Q93" s="42"/>
      <c r="R93" s="67" t="s">
        <v>85</v>
      </c>
      <c r="S93" s="56">
        <v>9.7246100000000002</v>
      </c>
      <c r="T93" s="56">
        <v>42.350279</v>
      </c>
      <c r="U93" s="56">
        <f t="shared" si="22"/>
        <v>1.8145662996596608</v>
      </c>
      <c r="V93" s="56">
        <v>20.905937999999999</v>
      </c>
      <c r="W93" s="56">
        <v>94.255286999999996</v>
      </c>
      <c r="X93" s="46">
        <f t="shared" si="23"/>
        <v>0.46516018558937661</v>
      </c>
      <c r="Y93" s="46">
        <f t="shared" si="24"/>
        <v>0.44931462571431141</v>
      </c>
      <c r="Z93" s="56">
        <v>0.98679300000000003</v>
      </c>
      <c r="AA93" s="56">
        <v>63.402746</v>
      </c>
      <c r="AB93" s="56">
        <f t="shared" si="25"/>
        <v>2.059336958077119</v>
      </c>
      <c r="AC93" s="97">
        <f t="shared" si="17"/>
        <v>0.24477065841745826</v>
      </c>
      <c r="AD93" s="42"/>
      <c r="AE93" s="55"/>
    </row>
    <row r="94" spans="1:31" s="36" customFormat="1" x14ac:dyDescent="0.25">
      <c r="A94" s="23" t="s">
        <v>86</v>
      </c>
      <c r="B94" s="34">
        <v>4.5752170000000003</v>
      </c>
      <c r="C94" s="34">
        <v>14.776156</v>
      </c>
      <c r="D94" s="34">
        <f t="shared" si="18"/>
        <v>1.3456698702305632</v>
      </c>
      <c r="E94" s="34">
        <v>17.287447</v>
      </c>
      <c r="F94" s="34">
        <v>57.100043999999997</v>
      </c>
      <c r="G94" s="6">
        <f t="shared" si="19"/>
        <v>0.26465544623217069</v>
      </c>
      <c r="H94" s="6">
        <f t="shared" si="20"/>
        <v>0.25877661320190931</v>
      </c>
      <c r="I94" s="34">
        <v>1.86033</v>
      </c>
      <c r="J94" s="34">
        <v>174.45392100000001</v>
      </c>
      <c r="K94" s="34">
        <f t="shared" si="21"/>
        <v>3.0056343911688126</v>
      </c>
      <c r="L94" s="98">
        <f t="shared" si="16"/>
        <v>1.6599645209382494</v>
      </c>
      <c r="M94" s="8"/>
      <c r="N94" s="8"/>
      <c r="O94" s="14"/>
      <c r="P94" s="54"/>
      <c r="Q94" s="42"/>
      <c r="R94" s="67" t="s">
        <v>86</v>
      </c>
      <c r="S94" s="56">
        <v>4.8232369999999998</v>
      </c>
      <c r="T94" s="56">
        <v>14.165952000000001</v>
      </c>
      <c r="U94" s="56">
        <f t="shared" si="22"/>
        <v>1.2237590647111061</v>
      </c>
      <c r="V94" s="56">
        <v>15.77656</v>
      </c>
      <c r="W94" s="56">
        <v>62.139181999999998</v>
      </c>
      <c r="X94" s="46">
        <f t="shared" si="23"/>
        <v>0.30572171626767813</v>
      </c>
      <c r="Y94" s="46">
        <f t="shared" si="24"/>
        <v>0.22797133055275817</v>
      </c>
      <c r="Z94" s="56">
        <v>1.8904080000000001</v>
      </c>
      <c r="AA94" s="56">
        <v>162.96545900000001</v>
      </c>
      <c r="AB94" s="56">
        <f t="shared" si="25"/>
        <v>2.7630288757906447</v>
      </c>
      <c r="AC94" s="97">
        <f t="shared" si="17"/>
        <v>1.5392698110795386</v>
      </c>
      <c r="AD94" s="42"/>
      <c r="AE94" s="55"/>
    </row>
    <row r="95" spans="1:31" s="36" customFormat="1" x14ac:dyDescent="0.25">
      <c r="A95" s="23" t="s">
        <v>87</v>
      </c>
      <c r="B95" s="34">
        <v>6.5676560000000004</v>
      </c>
      <c r="C95" s="34">
        <v>29.149301999999999</v>
      </c>
      <c r="D95" s="34">
        <f t="shared" si="18"/>
        <v>1.8492963851943522</v>
      </c>
      <c r="E95" s="34">
        <v>7.3020849999999999</v>
      </c>
      <c r="F95" s="34">
        <v>32.511595</v>
      </c>
      <c r="G95" s="6">
        <f t="shared" si="19"/>
        <v>0.89942201439725789</v>
      </c>
      <c r="H95" s="6">
        <f t="shared" si="20"/>
        <v>0.89658172722685547</v>
      </c>
      <c r="I95" s="34">
        <v>2.1478630000000001</v>
      </c>
      <c r="J95" s="34">
        <v>172.12764000000001</v>
      </c>
      <c r="K95" s="34">
        <f t="shared" si="21"/>
        <v>2.5685583943024013</v>
      </c>
      <c r="L95" s="98">
        <f t="shared" si="16"/>
        <v>0.71926200910804905</v>
      </c>
      <c r="M95" s="8"/>
      <c r="N95" s="8"/>
      <c r="O95" s="14"/>
      <c r="P95" s="54"/>
      <c r="Q95" s="42"/>
      <c r="R95" s="67" t="s">
        <v>87</v>
      </c>
      <c r="S95" s="56">
        <v>4.9925759999999997</v>
      </c>
      <c r="T95" s="56">
        <v>26.527885999999999</v>
      </c>
      <c r="U95" s="56">
        <f t="shared" si="22"/>
        <v>2.2139444313583474</v>
      </c>
      <c r="V95" s="56">
        <v>5.3042490000000004</v>
      </c>
      <c r="W95" s="56">
        <v>28.418427000000001</v>
      </c>
      <c r="X95" s="46">
        <f t="shared" si="23"/>
        <v>0.9412408806600141</v>
      </c>
      <c r="Y95" s="46">
        <f t="shared" si="24"/>
        <v>0.93347481899684304</v>
      </c>
      <c r="Z95" s="56">
        <v>2.2286809999999999</v>
      </c>
      <c r="AA95" s="56">
        <v>149.490824</v>
      </c>
      <c r="AB95" s="56">
        <f t="shared" si="25"/>
        <v>2.1498691666068694</v>
      </c>
      <c r="AC95" s="97">
        <f t="shared" si="17"/>
        <v>-6.4075264751477956E-2</v>
      </c>
      <c r="AD95" s="42"/>
      <c r="AE95" s="55"/>
    </row>
    <row r="96" spans="1:31" s="36" customFormat="1" x14ac:dyDescent="0.25">
      <c r="A96" s="23" t="s">
        <v>88</v>
      </c>
      <c r="B96" s="34">
        <v>3.434822</v>
      </c>
      <c r="C96" s="34">
        <v>17.643272</v>
      </c>
      <c r="D96" s="34">
        <f t="shared" si="18"/>
        <v>2.1402457924554268</v>
      </c>
      <c r="E96" s="34">
        <v>3.6066240000000001</v>
      </c>
      <c r="F96" s="34">
        <v>19.080981999999999</v>
      </c>
      <c r="G96" s="6">
        <f t="shared" si="19"/>
        <v>0.95236487085984012</v>
      </c>
      <c r="H96" s="6">
        <f t="shared" si="20"/>
        <v>0.92465220081440258</v>
      </c>
      <c r="I96" s="34">
        <v>1.541588</v>
      </c>
      <c r="J96" s="34">
        <v>129.17154300000001</v>
      </c>
      <c r="K96" s="34">
        <f t="shared" si="21"/>
        <v>2.6856161034545596</v>
      </c>
      <c r="L96" s="98">
        <f t="shared" si="16"/>
        <v>0.5453703109991328</v>
      </c>
      <c r="M96" s="8"/>
      <c r="N96" s="8"/>
      <c r="O96" s="14"/>
      <c r="P96" s="54"/>
      <c r="Q96" s="42"/>
      <c r="R96" s="67" t="s">
        <v>88</v>
      </c>
      <c r="S96" s="56">
        <v>2.866323</v>
      </c>
      <c r="T96" s="56">
        <v>16.593371999999999</v>
      </c>
      <c r="U96" s="56">
        <f t="shared" si="22"/>
        <v>2.4121164990826225</v>
      </c>
      <c r="V96" s="56">
        <v>3.0151680000000001</v>
      </c>
      <c r="W96" s="56">
        <v>17.412595</v>
      </c>
      <c r="X96" s="46">
        <f t="shared" si="23"/>
        <v>0.9506345915053489</v>
      </c>
      <c r="Y96" s="46">
        <f t="shared" si="24"/>
        <v>0.95295227391437054</v>
      </c>
      <c r="Z96" s="56">
        <v>1.786618</v>
      </c>
      <c r="AA96" s="56">
        <v>120.17929700000001</v>
      </c>
      <c r="AB96" s="56">
        <f t="shared" si="25"/>
        <v>2.1559732102059841</v>
      </c>
      <c r="AC96" s="97">
        <f t="shared" si="17"/>
        <v>-0.2561432888766384</v>
      </c>
      <c r="AD96" s="42"/>
      <c r="AE96" s="55"/>
    </row>
    <row r="97" spans="1:31" s="36" customFormat="1" x14ac:dyDescent="0.25">
      <c r="A97" s="23" t="s">
        <v>89</v>
      </c>
      <c r="B97" s="34">
        <v>14.614860999999999</v>
      </c>
      <c r="C97" s="34">
        <v>94.115082999999998</v>
      </c>
      <c r="D97" s="34">
        <f t="shared" si="18"/>
        <v>2.6832015656301262</v>
      </c>
      <c r="E97" s="34">
        <v>23.608431</v>
      </c>
      <c r="F97" s="34">
        <v>148.50180599999999</v>
      </c>
      <c r="G97" s="6">
        <f t="shared" si="19"/>
        <v>0.61905261726202809</v>
      </c>
      <c r="H97" s="6">
        <f t="shared" si="20"/>
        <v>0.63376389510037345</v>
      </c>
      <c r="I97" s="34">
        <v>0.95145599999999997</v>
      </c>
      <c r="J97" s="34">
        <v>84.481322000000006</v>
      </c>
      <c r="K97" s="34">
        <f t="shared" si="21"/>
        <v>2.8458853373011257</v>
      </c>
      <c r="L97" s="98">
        <f t="shared" si="16"/>
        <v>0.16268377167099946</v>
      </c>
      <c r="M97" s="8"/>
      <c r="N97" s="8"/>
      <c r="O97" s="14"/>
      <c r="P97" s="54"/>
      <c r="Q97" s="42"/>
      <c r="R97" s="67" t="s">
        <v>89</v>
      </c>
      <c r="S97" s="56">
        <v>17.646239000000001</v>
      </c>
      <c r="T97" s="56">
        <v>102.190636</v>
      </c>
      <c r="U97" s="56">
        <f t="shared" si="22"/>
        <v>2.4129465585650665</v>
      </c>
      <c r="V97" s="56">
        <v>28.126536000000002</v>
      </c>
      <c r="W97" s="56">
        <v>155.3253</v>
      </c>
      <c r="X97" s="46">
        <f t="shared" si="23"/>
        <v>0.62738756738476431</v>
      </c>
      <c r="Y97" s="46">
        <f t="shared" si="24"/>
        <v>0.65791365604959395</v>
      </c>
      <c r="Z97" s="56">
        <v>1.0442070000000001</v>
      </c>
      <c r="AA97" s="56">
        <v>79.128332999999998</v>
      </c>
      <c r="AB97" s="56">
        <f t="shared" si="25"/>
        <v>2.4287947880360585</v>
      </c>
      <c r="AC97" s="97">
        <f t="shared" si="17"/>
        <v>1.584822947099207E-2</v>
      </c>
      <c r="AD97" s="42"/>
      <c r="AE97" s="55"/>
    </row>
    <row r="98" spans="1:31" s="36" customFormat="1" x14ac:dyDescent="0.25">
      <c r="A98" s="23" t="s">
        <v>90</v>
      </c>
      <c r="B98" s="34">
        <v>6.2564130000000002</v>
      </c>
      <c r="C98" s="34">
        <v>30.977575000000002</v>
      </c>
      <c r="D98" s="34">
        <f t="shared" si="18"/>
        <v>2.0630548073899</v>
      </c>
      <c r="E98" s="34">
        <v>11.302356</v>
      </c>
      <c r="F98" s="34">
        <v>53.859357000000003</v>
      </c>
      <c r="G98" s="6">
        <f t="shared" si="19"/>
        <v>0.55354945464467764</v>
      </c>
      <c r="H98" s="6">
        <f t="shared" si="20"/>
        <v>0.57515679216148086</v>
      </c>
      <c r="I98" s="34">
        <v>1.017101</v>
      </c>
      <c r="J98" s="34">
        <v>81.774805000000001</v>
      </c>
      <c r="K98" s="34">
        <f t="shared" si="21"/>
        <v>2.5769194403934219</v>
      </c>
      <c r="L98" s="98">
        <f t="shared" si="16"/>
        <v>0.51386463300352192</v>
      </c>
      <c r="M98" s="8"/>
      <c r="N98" s="8"/>
      <c r="O98" s="14"/>
      <c r="P98" s="54"/>
      <c r="Q98" s="42"/>
      <c r="R98" s="67" t="s">
        <v>90</v>
      </c>
      <c r="S98" s="56">
        <v>4.8307310000000001</v>
      </c>
      <c r="T98" s="56">
        <v>24.735251999999999</v>
      </c>
      <c r="U98" s="56">
        <f t="shared" si="22"/>
        <v>2.1334980151037182</v>
      </c>
      <c r="V98" s="56">
        <v>9.2110000000000003</v>
      </c>
      <c r="W98" s="56">
        <v>45.538184000000001</v>
      </c>
      <c r="X98" s="46">
        <f t="shared" si="23"/>
        <v>0.52445239387688636</v>
      </c>
      <c r="Y98" s="46">
        <f t="shared" si="24"/>
        <v>0.54317607395147771</v>
      </c>
      <c r="Z98" s="56">
        <v>1.1353869999999999</v>
      </c>
      <c r="AA98" s="56">
        <v>75.088671000000005</v>
      </c>
      <c r="AB98" s="56">
        <f t="shared" si="25"/>
        <v>2.1197073535956665</v>
      </c>
      <c r="AC98" s="97">
        <f t="shared" si="17"/>
        <v>-1.3790661508051638E-2</v>
      </c>
      <c r="AD98" s="42"/>
      <c r="AE98" s="55"/>
    </row>
    <row r="99" spans="1:31" s="36" customFormat="1" x14ac:dyDescent="0.25">
      <c r="A99" s="23" t="s">
        <v>91</v>
      </c>
      <c r="B99" s="34">
        <v>8.8779459999999997</v>
      </c>
      <c r="C99" s="34">
        <v>33.369129000000001</v>
      </c>
      <c r="D99" s="34">
        <f t="shared" si="18"/>
        <v>1.5661059157151893</v>
      </c>
      <c r="E99" s="34">
        <v>13.377306000000001</v>
      </c>
      <c r="F99" s="34">
        <v>47.359597000000001</v>
      </c>
      <c r="G99" s="6">
        <f t="shared" si="19"/>
        <v>0.66365724160006501</v>
      </c>
      <c r="H99" s="6">
        <f t="shared" si="20"/>
        <v>0.70459064505975422</v>
      </c>
      <c r="I99" s="34">
        <v>1.77597</v>
      </c>
      <c r="J99" s="34">
        <v>141.06743299999999</v>
      </c>
      <c r="K99" s="34">
        <f t="shared" si="21"/>
        <v>2.5458718803433236</v>
      </c>
      <c r="L99" s="98">
        <f t="shared" si="16"/>
        <v>0.97976596462813426</v>
      </c>
      <c r="M99" s="8"/>
      <c r="N99" s="8"/>
      <c r="O99" s="14"/>
      <c r="P99" s="54"/>
      <c r="Q99" s="42"/>
      <c r="R99" s="67" t="s">
        <v>91</v>
      </c>
      <c r="S99" s="56">
        <v>15.193643</v>
      </c>
      <c r="T99" s="56">
        <v>53.636642000000002</v>
      </c>
      <c r="U99" s="56">
        <f t="shared" si="22"/>
        <v>1.4709178590897083</v>
      </c>
      <c r="V99" s="56">
        <v>15.328002</v>
      </c>
      <c r="W99" s="56">
        <v>54.169777000000003</v>
      </c>
      <c r="X99" s="46">
        <f t="shared" si="23"/>
        <v>0.99123440876377755</v>
      </c>
      <c r="Y99" s="46">
        <f t="shared" si="24"/>
        <v>0.99015807283090718</v>
      </c>
      <c r="Z99" s="56">
        <v>1.8127040000000001</v>
      </c>
      <c r="AA99" s="56">
        <v>118.176472</v>
      </c>
      <c r="AB99" s="56">
        <f t="shared" si="25"/>
        <v>2.0895344391017154</v>
      </c>
      <c r="AC99" s="97">
        <f t="shared" si="17"/>
        <v>0.61861658001200714</v>
      </c>
      <c r="AD99" s="42"/>
      <c r="AE99" s="55"/>
    </row>
    <row r="100" spans="1:31" s="36" customFormat="1" x14ac:dyDescent="0.25">
      <c r="A100" s="23" t="s">
        <v>92</v>
      </c>
      <c r="B100" s="34">
        <v>17.328441000000002</v>
      </c>
      <c r="C100" s="34">
        <v>82.256555000000006</v>
      </c>
      <c r="D100" s="34">
        <f t="shared" si="18"/>
        <v>1.9778792900834723</v>
      </c>
      <c r="E100" s="34">
        <v>23.068511999999998</v>
      </c>
      <c r="F100" s="34">
        <v>104.253942</v>
      </c>
      <c r="G100" s="6">
        <f t="shared" si="19"/>
        <v>0.75117289749768013</v>
      </c>
      <c r="H100" s="6">
        <f t="shared" si="20"/>
        <v>0.7890018681499833</v>
      </c>
      <c r="I100" s="34">
        <v>0.83802200000000004</v>
      </c>
      <c r="J100" s="34">
        <v>66.456505000000007</v>
      </c>
      <c r="K100" s="34">
        <f t="shared" si="21"/>
        <v>2.5417186970001215</v>
      </c>
      <c r="L100" s="98">
        <f t="shared" si="16"/>
        <v>0.56383940691664924</v>
      </c>
      <c r="M100" s="8"/>
      <c r="N100" s="8"/>
      <c r="O100" s="14"/>
      <c r="P100" s="54"/>
      <c r="Q100" s="42"/>
      <c r="R100" s="67" t="s">
        <v>92</v>
      </c>
      <c r="S100" s="56">
        <v>14.497173</v>
      </c>
      <c r="T100" s="56">
        <v>72.100111999999996</v>
      </c>
      <c r="U100" s="56">
        <f t="shared" si="22"/>
        <v>2.0722463154253132</v>
      </c>
      <c r="V100" s="56">
        <v>21.275485</v>
      </c>
      <c r="W100" s="56">
        <v>97.549204000000003</v>
      </c>
      <c r="X100" s="46">
        <f t="shared" si="23"/>
        <v>0.68140270362814293</v>
      </c>
      <c r="Y100" s="46">
        <f t="shared" si="24"/>
        <v>0.73911532891647169</v>
      </c>
      <c r="Z100" s="56">
        <v>1.039175</v>
      </c>
      <c r="AA100" s="56">
        <v>68.267471</v>
      </c>
      <c r="AB100" s="56">
        <f t="shared" si="25"/>
        <v>2.105574102483911</v>
      </c>
      <c r="AC100" s="97">
        <f t="shared" si="17"/>
        <v>3.3327787058597735E-2</v>
      </c>
      <c r="AD100" s="42"/>
      <c r="AE100" s="55"/>
    </row>
    <row r="101" spans="1:31" s="36" customFormat="1" x14ac:dyDescent="0.25">
      <c r="A101" s="13"/>
      <c r="B101" s="8"/>
      <c r="C101" s="8"/>
      <c r="D101" s="8"/>
      <c r="E101" s="8"/>
      <c r="F101" s="8"/>
      <c r="G101" s="8"/>
      <c r="H101" s="8"/>
      <c r="I101" s="8"/>
      <c r="J101" s="8"/>
      <c r="K101" s="8"/>
      <c r="L101" s="8"/>
      <c r="M101" s="8"/>
      <c r="N101" s="8"/>
      <c r="O101" s="14"/>
      <c r="P101" s="54"/>
      <c r="Q101" s="42"/>
      <c r="R101" s="42"/>
      <c r="S101" s="42"/>
      <c r="T101" s="42"/>
      <c r="U101" s="42"/>
      <c r="V101" s="42"/>
      <c r="W101" s="42"/>
      <c r="X101" s="42"/>
      <c r="Y101" s="42"/>
      <c r="Z101" s="42"/>
      <c r="AA101" s="42"/>
      <c r="AB101" s="42"/>
      <c r="AC101" s="42"/>
      <c r="AD101" s="42"/>
      <c r="AE101" s="55"/>
    </row>
    <row r="102" spans="1:31" s="36" customFormat="1" x14ac:dyDescent="0.25">
      <c r="A102" s="13"/>
      <c r="B102" s="8"/>
      <c r="C102" s="8"/>
      <c r="D102" s="8"/>
      <c r="E102" s="8"/>
      <c r="F102" s="8"/>
      <c r="G102" s="8"/>
      <c r="H102" s="8"/>
      <c r="I102" s="8"/>
      <c r="J102" s="8"/>
      <c r="K102" s="8"/>
      <c r="L102" s="8"/>
      <c r="M102" s="8"/>
      <c r="N102" s="8"/>
      <c r="O102" s="14"/>
      <c r="P102" s="54"/>
      <c r="Q102" s="42"/>
      <c r="R102" s="42"/>
      <c r="S102" s="42"/>
      <c r="T102" s="42"/>
      <c r="U102" s="42"/>
      <c r="V102" s="42"/>
      <c r="W102" s="42"/>
      <c r="X102" s="42"/>
      <c r="Y102" s="42"/>
      <c r="Z102" s="42"/>
      <c r="AA102" s="42"/>
      <c r="AB102" s="42"/>
      <c r="AC102" s="42"/>
      <c r="AD102" s="42"/>
      <c r="AE102" s="55"/>
    </row>
    <row r="103" spans="1:31" s="36" customFormat="1" x14ac:dyDescent="0.25">
      <c r="A103" s="15" t="s">
        <v>95</v>
      </c>
      <c r="B103" s="8"/>
      <c r="C103" s="8"/>
      <c r="D103" s="8"/>
      <c r="E103" s="8"/>
      <c r="F103" s="8"/>
      <c r="G103" s="8"/>
      <c r="H103" s="8"/>
      <c r="I103" s="8"/>
      <c r="J103" s="8"/>
      <c r="K103" s="8"/>
      <c r="L103" s="8"/>
      <c r="M103" s="8"/>
      <c r="N103" s="8"/>
      <c r="O103" s="14"/>
      <c r="P103" s="54"/>
      <c r="Q103" s="42"/>
      <c r="R103" s="37" t="s">
        <v>95</v>
      </c>
      <c r="S103" s="42"/>
      <c r="T103" s="42"/>
      <c r="U103" s="42"/>
      <c r="V103" s="42"/>
      <c r="W103" s="42"/>
      <c r="X103" s="42"/>
      <c r="Y103" s="42"/>
      <c r="Z103" s="42"/>
      <c r="AA103" s="42"/>
      <c r="AB103" s="42"/>
      <c r="AC103" s="42"/>
      <c r="AD103" s="42"/>
      <c r="AE103" s="55"/>
    </row>
    <row r="104" spans="1:31" s="36" customFormat="1" x14ac:dyDescent="0.25">
      <c r="A104" s="141" t="s">
        <v>25</v>
      </c>
      <c r="B104" s="141"/>
      <c r="C104" s="141"/>
      <c r="D104" s="141"/>
      <c r="E104" s="141"/>
      <c r="F104" s="141"/>
      <c r="G104" s="141"/>
      <c r="H104" s="141"/>
      <c r="I104" s="141"/>
      <c r="J104" s="141"/>
      <c r="K104" s="141"/>
      <c r="L104" s="8"/>
      <c r="M104" s="8"/>
      <c r="N104" s="8"/>
      <c r="O104" s="14"/>
      <c r="P104" s="54"/>
      <c r="Q104" s="42"/>
      <c r="R104" s="145" t="s">
        <v>25</v>
      </c>
      <c r="S104" s="145"/>
      <c r="T104" s="145"/>
      <c r="U104" s="145"/>
      <c r="V104" s="145"/>
      <c r="W104" s="145"/>
      <c r="X104" s="145"/>
      <c r="Y104" s="145"/>
      <c r="Z104" s="145"/>
      <c r="AA104" s="145"/>
      <c r="AB104" s="145"/>
      <c r="AD104" s="42"/>
      <c r="AE104" s="55"/>
    </row>
    <row r="105" spans="1:31" s="36" customFormat="1" ht="14.45" customHeight="1" x14ac:dyDescent="0.25">
      <c r="A105" s="102"/>
      <c r="B105" s="156" t="s">
        <v>55</v>
      </c>
      <c r="C105" s="157"/>
      <c r="D105" s="157"/>
      <c r="E105" s="157"/>
      <c r="F105" s="157"/>
      <c r="G105" s="157"/>
      <c r="H105" s="158"/>
      <c r="I105" s="153" t="s">
        <v>1</v>
      </c>
      <c r="J105" s="154"/>
      <c r="K105" s="155"/>
      <c r="L105" s="8"/>
      <c r="M105" s="8"/>
      <c r="N105" s="8"/>
      <c r="O105" s="14"/>
      <c r="P105" s="54"/>
      <c r="Q105" s="42"/>
      <c r="R105" s="45"/>
      <c r="S105" s="146" t="s">
        <v>55</v>
      </c>
      <c r="T105" s="146"/>
      <c r="U105" s="146"/>
      <c r="V105" s="146"/>
      <c r="W105" s="146"/>
      <c r="X105" s="146"/>
      <c r="Y105" s="146"/>
      <c r="Z105" s="103" t="s">
        <v>1</v>
      </c>
      <c r="AA105" s="103"/>
      <c r="AB105" s="103"/>
      <c r="AC105" s="42"/>
      <c r="AD105" s="42"/>
      <c r="AE105" s="55"/>
    </row>
    <row r="106" spans="1:31" s="36" customFormat="1" ht="75" x14ac:dyDescent="0.25">
      <c r="A106" s="2" t="s">
        <v>56</v>
      </c>
      <c r="B106" s="31" t="s">
        <v>96</v>
      </c>
      <c r="C106" s="31" t="s">
        <v>97</v>
      </c>
      <c r="D106" s="31" t="s">
        <v>105</v>
      </c>
      <c r="E106" s="31" t="s">
        <v>135</v>
      </c>
      <c r="F106" s="31" t="s">
        <v>136</v>
      </c>
      <c r="G106" s="31" t="s">
        <v>137</v>
      </c>
      <c r="H106" s="31" t="s">
        <v>138</v>
      </c>
      <c r="I106" s="31" t="s">
        <v>106</v>
      </c>
      <c r="J106" s="31" t="s">
        <v>107</v>
      </c>
      <c r="K106" s="31" t="s">
        <v>93</v>
      </c>
      <c r="L106" s="96" t="s">
        <v>131</v>
      </c>
      <c r="M106" s="8"/>
      <c r="N106" s="8"/>
      <c r="O106" s="14"/>
      <c r="P106" s="54"/>
      <c r="Q106" s="42"/>
      <c r="R106" s="43" t="s">
        <v>56</v>
      </c>
      <c r="S106" s="52" t="s">
        <v>96</v>
      </c>
      <c r="T106" s="52" t="s">
        <v>97</v>
      </c>
      <c r="U106" s="52" t="s">
        <v>105</v>
      </c>
      <c r="V106" s="52" t="s">
        <v>135</v>
      </c>
      <c r="W106" s="52" t="s">
        <v>136</v>
      </c>
      <c r="X106" s="52" t="s">
        <v>137</v>
      </c>
      <c r="Y106" s="52" t="s">
        <v>138</v>
      </c>
      <c r="Z106" s="52" t="s">
        <v>106</v>
      </c>
      <c r="AA106" s="52" t="s">
        <v>107</v>
      </c>
      <c r="AB106" s="52" t="s">
        <v>93</v>
      </c>
      <c r="AC106" s="41" t="s">
        <v>131</v>
      </c>
      <c r="AD106" s="42"/>
      <c r="AE106" s="55"/>
    </row>
    <row r="107" spans="1:31" s="36" customFormat="1" x14ac:dyDescent="0.25">
      <c r="A107" s="23" t="s">
        <v>57</v>
      </c>
      <c r="B107" s="34">
        <v>1.7689E-2</v>
      </c>
      <c r="C107" s="34">
        <v>0.106132</v>
      </c>
      <c r="D107" s="34">
        <f t="shared" ref="D107:D142" si="26">C107/(B107*$G$10*$H$10)</f>
        <v>2.4999528897431551</v>
      </c>
      <c r="E107" s="34">
        <v>1.7689E-2</v>
      </c>
      <c r="F107" s="34">
        <v>0.106132</v>
      </c>
      <c r="G107" s="6">
        <f t="shared" ref="G107" si="27">B107/E107</f>
        <v>1</v>
      </c>
      <c r="H107" s="6">
        <f t="shared" ref="H107" si="28">C107/F107</f>
        <v>1</v>
      </c>
      <c r="I107" s="34">
        <v>3.4540229999999998</v>
      </c>
      <c r="J107" s="34">
        <v>279.26700199999999</v>
      </c>
      <c r="K107" s="34">
        <f t="shared" ref="K107:K142" si="29">J107/(I107*$G$9*$H$9)</f>
        <v>2.5914319182929435</v>
      </c>
      <c r="L107" s="63">
        <f t="shared" ref="L107:L142" si="30">K107-D107</f>
        <v>9.1479028549788399E-2</v>
      </c>
      <c r="M107" s="8"/>
      <c r="N107" s="8"/>
      <c r="O107" s="14"/>
      <c r="P107" s="54"/>
      <c r="Q107" s="42"/>
      <c r="R107" s="67" t="s">
        <v>57</v>
      </c>
      <c r="S107" s="56">
        <v>0.214033</v>
      </c>
      <c r="T107" s="56">
        <v>0.85328400000000004</v>
      </c>
      <c r="U107" s="56">
        <f t="shared" ref="U107:U142" si="31">T107/(S107*$G$10*$H$10)</f>
        <v>1.6611223502917776</v>
      </c>
      <c r="V107" s="56">
        <v>0.214033</v>
      </c>
      <c r="W107" s="56">
        <v>0.85328400000000004</v>
      </c>
      <c r="X107" s="46">
        <f>S107/V107</f>
        <v>1</v>
      </c>
      <c r="Y107" s="46">
        <f t="shared" ref="Y107" si="32">T107/W107</f>
        <v>1</v>
      </c>
      <c r="Z107" s="56">
        <v>3.4463840000000001</v>
      </c>
      <c r="AA107" s="56">
        <v>235.749064</v>
      </c>
      <c r="AB107" s="56">
        <f t="shared" ref="AB107:AB142" si="33">AA107/(Z107*$G$9*$H$9)</f>
        <v>2.1924601970035096</v>
      </c>
      <c r="AC107" s="97">
        <f t="shared" ref="AC107:AC142" si="34">AB107-U107</f>
        <v>0.53133784671173201</v>
      </c>
      <c r="AD107" s="42"/>
      <c r="AE107" s="55"/>
    </row>
    <row r="108" spans="1:31" s="36" customFormat="1" x14ac:dyDescent="0.25">
      <c r="A108" s="23" t="s">
        <v>58</v>
      </c>
      <c r="B108" s="34">
        <v>0.69137899999999997</v>
      </c>
      <c r="C108" s="34">
        <v>3.9567429999999999</v>
      </c>
      <c r="D108" s="34">
        <f t="shared" si="26"/>
        <v>2.384571872542653</v>
      </c>
      <c r="E108" s="34">
        <v>0.708256</v>
      </c>
      <c r="F108" s="34">
        <v>4.0588769999999998</v>
      </c>
      <c r="G108" s="6">
        <f t="shared" ref="G108:G142" si="35">B108/E108</f>
        <v>0.97617104549767308</v>
      </c>
      <c r="H108" s="6">
        <f t="shared" ref="H108:H142" si="36">C108/F108</f>
        <v>0.97483688222136322</v>
      </c>
      <c r="I108" s="34">
        <v>2.2044709999999998</v>
      </c>
      <c r="J108" s="34">
        <v>177.00179800000001</v>
      </c>
      <c r="K108" s="34">
        <f t="shared" si="29"/>
        <v>2.5734675354232608</v>
      </c>
      <c r="L108" s="63">
        <f t="shared" si="30"/>
        <v>0.18889566288060777</v>
      </c>
      <c r="M108" s="8"/>
      <c r="N108" s="8"/>
      <c r="O108" s="14"/>
      <c r="P108" s="54"/>
      <c r="Q108" s="42"/>
      <c r="R108" s="67" t="s">
        <v>58</v>
      </c>
      <c r="S108" s="56">
        <v>0.75515100000000002</v>
      </c>
      <c r="T108" s="56">
        <v>3.791601</v>
      </c>
      <c r="U108" s="56">
        <f t="shared" si="31"/>
        <v>2.0920766177890249</v>
      </c>
      <c r="V108" s="56">
        <v>0.75831800000000005</v>
      </c>
      <c r="W108" s="56">
        <v>3.808627</v>
      </c>
      <c r="X108" s="46">
        <f t="shared" ref="X108:X142" si="37">S108/V108</f>
        <v>0.99582365181889387</v>
      </c>
      <c r="Y108" s="46">
        <f t="shared" ref="Y108:Y142" si="38">T108/W108</f>
        <v>0.99552962261728439</v>
      </c>
      <c r="Z108" s="56">
        <v>2.180879</v>
      </c>
      <c r="AA108" s="56">
        <v>147.77061499999999</v>
      </c>
      <c r="AB108" s="56">
        <f t="shared" si="33"/>
        <v>2.171710425134274</v>
      </c>
      <c r="AC108" s="97">
        <f t="shared" si="34"/>
        <v>7.9633807345249163E-2</v>
      </c>
      <c r="AD108" s="42"/>
      <c r="AE108" s="55"/>
    </row>
    <row r="109" spans="1:31" s="36" customFormat="1" x14ac:dyDescent="0.25">
      <c r="A109" s="23" t="s">
        <v>59</v>
      </c>
      <c r="B109" s="34">
        <v>5.8202480000000003</v>
      </c>
      <c r="C109" s="34">
        <v>36.357900000000001</v>
      </c>
      <c r="D109" s="34">
        <f t="shared" si="26"/>
        <v>2.6028315288283248</v>
      </c>
      <c r="E109" s="34">
        <v>6.9473539999999998</v>
      </c>
      <c r="F109" s="34">
        <v>41.052123000000002</v>
      </c>
      <c r="G109" s="6">
        <f t="shared" si="35"/>
        <v>0.83776470869341058</v>
      </c>
      <c r="H109" s="6">
        <f t="shared" si="36"/>
        <v>0.88565212571344964</v>
      </c>
      <c r="I109" s="34">
        <v>2.3392089999999999</v>
      </c>
      <c r="J109" s="34">
        <v>189.14011600000001</v>
      </c>
      <c r="K109" s="34">
        <f t="shared" si="29"/>
        <v>2.591552616772681</v>
      </c>
      <c r="L109" s="63">
        <f t="shared" si="30"/>
        <v>-1.1278912055643797E-2</v>
      </c>
      <c r="M109" s="8"/>
      <c r="N109" s="8"/>
      <c r="O109" s="14"/>
      <c r="P109" s="54"/>
      <c r="Q109" s="42"/>
      <c r="R109" s="67" t="s">
        <v>59</v>
      </c>
      <c r="S109" s="56">
        <v>9.150919</v>
      </c>
      <c r="T109" s="56">
        <v>60.658396000000003</v>
      </c>
      <c r="U109" s="56">
        <f t="shared" si="31"/>
        <v>2.7619446382015473</v>
      </c>
      <c r="V109" s="56">
        <v>10.266982</v>
      </c>
      <c r="W109" s="56">
        <v>67.898802000000003</v>
      </c>
      <c r="X109" s="46">
        <f t="shared" si="37"/>
        <v>0.8912959037037369</v>
      </c>
      <c r="Y109" s="46">
        <f t="shared" si="38"/>
        <v>0.89336474596414828</v>
      </c>
      <c r="Z109" s="56">
        <v>2.4111370000000001</v>
      </c>
      <c r="AA109" s="56">
        <v>173.94136</v>
      </c>
      <c r="AB109" s="56">
        <f t="shared" si="33"/>
        <v>2.3122052333581995</v>
      </c>
      <c r="AC109" s="97">
        <f t="shared" si="34"/>
        <v>-0.44973940484334785</v>
      </c>
      <c r="AD109" s="42"/>
      <c r="AE109" s="55"/>
    </row>
    <row r="110" spans="1:31" s="36" customFormat="1" x14ac:dyDescent="0.25">
      <c r="A110" s="23" t="s">
        <v>60</v>
      </c>
      <c r="B110" s="34">
        <v>1.559906</v>
      </c>
      <c r="C110" s="34">
        <v>9.3772439999999992</v>
      </c>
      <c r="D110" s="34">
        <f t="shared" si="26"/>
        <v>2.5047566968778887</v>
      </c>
      <c r="E110" s="34">
        <v>2.0277669999999999</v>
      </c>
      <c r="F110" s="34">
        <v>12.509005999999999</v>
      </c>
      <c r="G110" s="6">
        <f t="shared" si="35"/>
        <v>0.76927280106639473</v>
      </c>
      <c r="H110" s="6">
        <f t="shared" si="36"/>
        <v>0.74963941979082904</v>
      </c>
      <c r="I110" s="34">
        <v>2.635281</v>
      </c>
      <c r="J110" s="34">
        <v>212.19519199999999</v>
      </c>
      <c r="K110" s="34">
        <f t="shared" si="29"/>
        <v>2.5807980054946507</v>
      </c>
      <c r="L110" s="63">
        <f t="shared" si="30"/>
        <v>7.6041308616761949E-2</v>
      </c>
      <c r="M110" s="8"/>
      <c r="N110" s="8"/>
      <c r="O110" s="14"/>
      <c r="P110" s="54"/>
      <c r="Q110" s="42"/>
      <c r="R110" s="67" t="s">
        <v>60</v>
      </c>
      <c r="S110" s="56">
        <v>1.506175</v>
      </c>
      <c r="T110" s="56">
        <v>7.3783099999999999</v>
      </c>
      <c r="U110" s="56">
        <f t="shared" si="31"/>
        <v>2.0411279123165191</v>
      </c>
      <c r="V110" s="56">
        <v>2.0123440000000001</v>
      </c>
      <c r="W110" s="56">
        <v>9.4317489999999999</v>
      </c>
      <c r="X110" s="46">
        <f t="shared" si="37"/>
        <v>0.74846795577694469</v>
      </c>
      <c r="Y110" s="46">
        <f t="shared" si="38"/>
        <v>0.78228438861127458</v>
      </c>
      <c r="Z110" s="56">
        <v>2.6044160000000001</v>
      </c>
      <c r="AA110" s="56">
        <v>177.177031</v>
      </c>
      <c r="AB110" s="56">
        <f t="shared" si="33"/>
        <v>2.1804316182935994</v>
      </c>
      <c r="AC110" s="97">
        <f t="shared" si="34"/>
        <v>0.13930370597708031</v>
      </c>
      <c r="AD110" s="42"/>
      <c r="AE110" s="55"/>
    </row>
    <row r="111" spans="1:31" s="36" customFormat="1" x14ac:dyDescent="0.25">
      <c r="A111" s="23" t="s">
        <v>61</v>
      </c>
      <c r="B111" s="34">
        <v>2.3340519999999998</v>
      </c>
      <c r="C111" s="34">
        <v>15.699532</v>
      </c>
      <c r="D111" s="34">
        <f t="shared" si="26"/>
        <v>2.802624648751042</v>
      </c>
      <c r="E111" s="34">
        <v>2.8324440000000002</v>
      </c>
      <c r="F111" s="34">
        <v>19.400803</v>
      </c>
      <c r="G111" s="6">
        <f t="shared" si="35"/>
        <v>0.8240417109746917</v>
      </c>
      <c r="H111" s="6">
        <f t="shared" si="36"/>
        <v>0.80922073173981512</v>
      </c>
      <c r="I111" s="34">
        <v>2.1550829999999999</v>
      </c>
      <c r="J111" s="34">
        <v>182.42301900000001</v>
      </c>
      <c r="K111" s="34">
        <f t="shared" si="29"/>
        <v>2.7130702783212457</v>
      </c>
      <c r="L111" s="63">
        <f t="shared" si="30"/>
        <v>-8.9554370429796304E-2</v>
      </c>
      <c r="M111" s="8"/>
      <c r="N111" s="8"/>
      <c r="O111" s="14"/>
      <c r="P111" s="54"/>
      <c r="Q111" s="42"/>
      <c r="R111" s="67" t="s">
        <v>61</v>
      </c>
      <c r="S111" s="56">
        <v>1.6453960000000001</v>
      </c>
      <c r="T111" s="56">
        <v>11.821243000000001</v>
      </c>
      <c r="U111" s="56">
        <f t="shared" si="31"/>
        <v>2.9935151882383737</v>
      </c>
      <c r="V111" s="56">
        <v>2.0538979999999998</v>
      </c>
      <c r="W111" s="56">
        <v>14.849672999999999</v>
      </c>
      <c r="X111" s="46">
        <f t="shared" si="37"/>
        <v>0.80110891582736843</v>
      </c>
      <c r="Y111" s="46">
        <f t="shared" si="38"/>
        <v>0.79606082908357656</v>
      </c>
      <c r="Z111" s="56">
        <v>2.2366890000000001</v>
      </c>
      <c r="AA111" s="56">
        <v>160.09987799999999</v>
      </c>
      <c r="AB111" s="56">
        <f t="shared" si="33"/>
        <v>2.2941975152351737</v>
      </c>
      <c r="AC111" s="97">
        <f t="shared" si="34"/>
        <v>-0.69931767300320002</v>
      </c>
      <c r="AD111" s="42"/>
      <c r="AE111" s="55"/>
    </row>
    <row r="112" spans="1:31" s="36" customFormat="1" x14ac:dyDescent="0.25">
      <c r="A112" s="23" t="s">
        <v>62</v>
      </c>
      <c r="B112" s="34">
        <v>0</v>
      </c>
      <c r="C112" s="34">
        <v>0</v>
      </c>
      <c r="D112" s="34">
        <v>0</v>
      </c>
      <c r="E112" s="34">
        <v>0</v>
      </c>
      <c r="F112" s="34">
        <v>0</v>
      </c>
      <c r="G112" s="6">
        <v>0</v>
      </c>
      <c r="H112" s="6">
        <v>0</v>
      </c>
      <c r="I112" s="34">
        <v>2.2510300000000001</v>
      </c>
      <c r="J112" s="34">
        <v>176.91255200000001</v>
      </c>
      <c r="K112" s="34">
        <f t="shared" si="29"/>
        <v>2.5189686954701189</v>
      </c>
      <c r="L112" s="63">
        <f t="shared" si="30"/>
        <v>2.5189686954701189</v>
      </c>
      <c r="M112" s="8"/>
      <c r="N112" s="8"/>
      <c r="O112" s="14"/>
      <c r="P112" s="54"/>
      <c r="Q112" s="42"/>
      <c r="R112" s="67" t="s">
        <v>62</v>
      </c>
      <c r="S112" s="56">
        <v>2.6842999999999999E-2</v>
      </c>
      <c r="T112" s="56">
        <v>0.21474699999999999</v>
      </c>
      <c r="U112" s="56">
        <f t="shared" si="31"/>
        <v>3.3333799004085485</v>
      </c>
      <c r="V112" s="56">
        <v>2.6842999999999999E-2</v>
      </c>
      <c r="W112" s="56">
        <v>0.21474699999999999</v>
      </c>
      <c r="X112" s="46">
        <f t="shared" si="37"/>
        <v>1</v>
      </c>
      <c r="Y112" s="46">
        <f t="shared" si="38"/>
        <v>1</v>
      </c>
      <c r="Z112" s="56">
        <v>2.9250509999999998</v>
      </c>
      <c r="AA112" s="56">
        <v>201.796932</v>
      </c>
      <c r="AB112" s="56">
        <f t="shared" si="33"/>
        <v>2.2111923466002419</v>
      </c>
      <c r="AC112" s="97">
        <f t="shared" si="34"/>
        <v>-1.1221875538083066</v>
      </c>
      <c r="AD112" s="42"/>
      <c r="AE112" s="55"/>
    </row>
    <row r="113" spans="1:31" s="36" customFormat="1" x14ac:dyDescent="0.25">
      <c r="A113" s="23" t="s">
        <v>63</v>
      </c>
      <c r="B113" s="34">
        <v>3.8359899999999998</v>
      </c>
      <c r="C113" s="34">
        <v>19.932020999999999</v>
      </c>
      <c r="D113" s="34">
        <f t="shared" si="26"/>
        <v>2.1650235662762416</v>
      </c>
      <c r="E113" s="34">
        <v>4.4553399999999996</v>
      </c>
      <c r="F113" s="34">
        <v>23.096647999999998</v>
      </c>
      <c r="G113" s="6">
        <f t="shared" si="35"/>
        <v>0.86098704027077622</v>
      </c>
      <c r="H113" s="6">
        <f t="shared" si="36"/>
        <v>0.862983277919809</v>
      </c>
      <c r="I113" s="34">
        <v>2.24268</v>
      </c>
      <c r="J113" s="34">
        <v>187.27497500000001</v>
      </c>
      <c r="K113" s="34">
        <f t="shared" si="29"/>
        <v>2.6764420447285371</v>
      </c>
      <c r="L113" s="63">
        <f t="shared" si="30"/>
        <v>0.51141847845229549</v>
      </c>
      <c r="M113" s="8"/>
      <c r="N113" s="8"/>
      <c r="O113" s="14"/>
      <c r="P113" s="54"/>
      <c r="Q113" s="42"/>
      <c r="R113" s="67" t="s">
        <v>63</v>
      </c>
      <c r="S113" s="56">
        <v>2.2802750000000001</v>
      </c>
      <c r="T113" s="56">
        <v>12.776171</v>
      </c>
      <c r="U113" s="56">
        <f t="shared" si="31"/>
        <v>2.3345449927457578</v>
      </c>
      <c r="V113" s="56">
        <v>2.579977</v>
      </c>
      <c r="W113" s="56">
        <v>14.502700000000001</v>
      </c>
      <c r="X113" s="46">
        <f t="shared" si="37"/>
        <v>0.88383539853262261</v>
      </c>
      <c r="Y113" s="46">
        <f t="shared" si="38"/>
        <v>0.88095120218993694</v>
      </c>
      <c r="Z113" s="56">
        <v>2.3187639999999998</v>
      </c>
      <c r="AA113" s="56">
        <v>158.81536700000001</v>
      </c>
      <c r="AB113" s="56">
        <f t="shared" si="33"/>
        <v>2.1952368252201913</v>
      </c>
      <c r="AC113" s="97">
        <f t="shared" si="34"/>
        <v>-0.13930816752556652</v>
      </c>
      <c r="AD113" s="42"/>
      <c r="AE113" s="55"/>
    </row>
    <row r="114" spans="1:31" s="36" customFormat="1" x14ac:dyDescent="0.25">
      <c r="A114" s="23" t="s">
        <v>64</v>
      </c>
      <c r="B114" s="34">
        <v>1.6337550000000001</v>
      </c>
      <c r="C114" s="34">
        <v>8.1759050000000002</v>
      </c>
      <c r="D114" s="34">
        <f t="shared" si="26"/>
        <v>2.0851517414381795</v>
      </c>
      <c r="E114" s="34">
        <v>1.6554150000000001</v>
      </c>
      <c r="F114" s="34">
        <v>8.2625449999999994</v>
      </c>
      <c r="G114" s="6">
        <f t="shared" si="35"/>
        <v>0.98691566767245675</v>
      </c>
      <c r="H114" s="6">
        <f t="shared" si="36"/>
        <v>0.98951412670067163</v>
      </c>
      <c r="I114" s="34">
        <v>2.7980399999999999</v>
      </c>
      <c r="J114" s="34">
        <v>226.53488200000001</v>
      </c>
      <c r="K114" s="34">
        <f t="shared" si="29"/>
        <v>2.5949355253805875</v>
      </c>
      <c r="L114" s="63">
        <f t="shared" si="30"/>
        <v>0.50978378394240798</v>
      </c>
      <c r="M114" s="8"/>
      <c r="N114" s="8"/>
      <c r="O114" s="14"/>
      <c r="P114" s="54"/>
      <c r="Q114" s="42"/>
      <c r="R114" s="67" t="s">
        <v>64</v>
      </c>
      <c r="S114" s="56">
        <v>2.3145539999999998</v>
      </c>
      <c r="T114" s="56">
        <v>11.806258</v>
      </c>
      <c r="U114" s="56">
        <f t="shared" si="31"/>
        <v>2.1253659092277246</v>
      </c>
      <c r="V114" s="56">
        <v>2.5066120000000001</v>
      </c>
      <c r="W114" s="56">
        <v>12.889267</v>
      </c>
      <c r="X114" s="46">
        <f t="shared" si="37"/>
        <v>0.92337944604111033</v>
      </c>
      <c r="Y114" s="46">
        <f t="shared" si="38"/>
        <v>0.91597590460341927</v>
      </c>
      <c r="Z114" s="56">
        <v>2.523876</v>
      </c>
      <c r="AA114" s="56">
        <v>163.694446</v>
      </c>
      <c r="AB114" s="56">
        <f t="shared" si="33"/>
        <v>2.0787934347703128</v>
      </c>
      <c r="AC114" s="97">
        <f t="shared" si="34"/>
        <v>-4.6572474457411861E-2</v>
      </c>
      <c r="AD114" s="42"/>
      <c r="AE114" s="55"/>
    </row>
    <row r="115" spans="1:31" s="36" customFormat="1" x14ac:dyDescent="0.25">
      <c r="A115" s="23" t="s">
        <v>65</v>
      </c>
      <c r="B115" s="34">
        <v>9.2409999999999992E-3</v>
      </c>
      <c r="C115" s="34">
        <v>0.14627699999999999</v>
      </c>
      <c r="D115" s="34">
        <f t="shared" si="26"/>
        <v>6.595471269343145</v>
      </c>
      <c r="E115" s="34">
        <v>9.2409999999999992E-3</v>
      </c>
      <c r="F115" s="34">
        <v>0.14627699999999999</v>
      </c>
      <c r="G115" s="6">
        <f t="shared" si="35"/>
        <v>1</v>
      </c>
      <c r="H115" s="6">
        <f t="shared" si="36"/>
        <v>1</v>
      </c>
      <c r="I115" s="34">
        <v>2.5341719999999999</v>
      </c>
      <c r="J115" s="34">
        <v>193.86139499999999</v>
      </c>
      <c r="K115" s="34">
        <f t="shared" si="29"/>
        <v>2.4518881315080425</v>
      </c>
      <c r="L115" s="63">
        <f t="shared" si="30"/>
        <v>-4.1435831378351029</v>
      </c>
      <c r="M115" s="8"/>
      <c r="N115" s="8"/>
      <c r="O115" s="14"/>
      <c r="P115" s="54"/>
      <c r="Q115" s="42"/>
      <c r="R115" s="67" t="s">
        <v>65</v>
      </c>
      <c r="S115" s="56">
        <v>2.1514999999999999E-2</v>
      </c>
      <c r="T115" s="56">
        <v>0.193664</v>
      </c>
      <c r="U115" s="56">
        <f t="shared" si="31"/>
        <v>3.7505616236734065</v>
      </c>
      <c r="V115" s="56">
        <v>2.1514999999999999E-2</v>
      </c>
      <c r="W115" s="56">
        <v>0.193664</v>
      </c>
      <c r="X115" s="46">
        <f t="shared" si="37"/>
        <v>1</v>
      </c>
      <c r="Y115" s="46">
        <f t="shared" si="38"/>
        <v>1</v>
      </c>
      <c r="Z115" s="56">
        <v>2.2493300000000001</v>
      </c>
      <c r="AA115" s="56">
        <v>145.565912</v>
      </c>
      <c r="AB115" s="56">
        <f t="shared" si="33"/>
        <v>2.0742061425242637</v>
      </c>
      <c r="AC115" s="97">
        <f t="shared" si="34"/>
        <v>-1.6763554811491428</v>
      </c>
      <c r="AD115" s="42"/>
      <c r="AE115" s="55"/>
    </row>
    <row r="116" spans="1:31" s="36" customFormat="1" x14ac:dyDescent="0.25">
      <c r="A116" s="23" t="s">
        <v>66</v>
      </c>
      <c r="B116" s="34">
        <v>2.292424</v>
      </c>
      <c r="C116" s="34">
        <v>10.585234</v>
      </c>
      <c r="D116" s="34">
        <f t="shared" si="26"/>
        <v>1.9239521862738598</v>
      </c>
      <c r="E116" s="34">
        <v>2.317326</v>
      </c>
      <c r="F116" s="34">
        <v>10.777899</v>
      </c>
      <c r="G116" s="6">
        <f t="shared" si="35"/>
        <v>0.98925399361160238</v>
      </c>
      <c r="H116" s="6">
        <f t="shared" si="36"/>
        <v>0.98212406703755528</v>
      </c>
      <c r="I116" s="34">
        <v>2.8354170000000001</v>
      </c>
      <c r="J116" s="34">
        <v>219.79439400000001</v>
      </c>
      <c r="K116" s="34">
        <f t="shared" si="29"/>
        <v>2.4845347669794653</v>
      </c>
      <c r="L116" s="63">
        <f t="shared" si="30"/>
        <v>0.56058258070560552</v>
      </c>
      <c r="M116" s="8"/>
      <c r="N116" s="8"/>
      <c r="O116" s="14"/>
      <c r="P116" s="54"/>
      <c r="Q116" s="42"/>
      <c r="R116" s="67" t="s">
        <v>66</v>
      </c>
      <c r="S116" s="56">
        <v>0.64229999999999998</v>
      </c>
      <c r="T116" s="56">
        <v>2.5684939999999998</v>
      </c>
      <c r="U116" s="56">
        <f t="shared" si="31"/>
        <v>1.6662086771498261</v>
      </c>
      <c r="V116" s="56">
        <v>0.736371</v>
      </c>
      <c r="W116" s="56">
        <v>2.944782</v>
      </c>
      <c r="X116" s="46">
        <f t="shared" si="37"/>
        <v>0.87225053675389175</v>
      </c>
      <c r="Y116" s="46">
        <f t="shared" si="38"/>
        <v>0.8722187245099976</v>
      </c>
      <c r="Z116" s="56">
        <v>3.1874150000000001</v>
      </c>
      <c r="AA116" s="56">
        <v>198.297461</v>
      </c>
      <c r="AB116" s="56">
        <f t="shared" si="33"/>
        <v>1.993994460264541</v>
      </c>
      <c r="AC116" s="97">
        <f t="shared" si="34"/>
        <v>0.32778578311471485</v>
      </c>
      <c r="AD116" s="42"/>
      <c r="AE116" s="55"/>
    </row>
    <row r="117" spans="1:31" s="36" customFormat="1" x14ac:dyDescent="0.25">
      <c r="A117" s="23" t="s">
        <v>67</v>
      </c>
      <c r="B117" s="34">
        <v>0.88375400000000004</v>
      </c>
      <c r="C117" s="34">
        <v>5.4190449999999997</v>
      </c>
      <c r="D117" s="34">
        <f t="shared" si="26"/>
        <v>2.554936573601553</v>
      </c>
      <c r="E117" s="34">
        <v>1.1300589999999999</v>
      </c>
      <c r="F117" s="34">
        <v>6.8113070000000002</v>
      </c>
      <c r="G117" s="6">
        <f t="shared" si="35"/>
        <v>0.78204235354083296</v>
      </c>
      <c r="H117" s="6">
        <f t="shared" si="36"/>
        <v>0.79559547088392868</v>
      </c>
      <c r="I117" s="34">
        <v>1.6611629999999999</v>
      </c>
      <c r="J117" s="34">
        <v>127.52865199999999</v>
      </c>
      <c r="K117" s="34">
        <f t="shared" si="29"/>
        <v>2.4605994684879176</v>
      </c>
      <c r="L117" s="63">
        <f t="shared" si="30"/>
        <v>-9.4337105113635467E-2</v>
      </c>
      <c r="M117" s="8"/>
      <c r="N117" s="8"/>
      <c r="O117" s="14"/>
      <c r="P117" s="54"/>
      <c r="Q117" s="42"/>
      <c r="R117" s="67" t="s">
        <v>67</v>
      </c>
      <c r="S117" s="56">
        <v>0.74930099999999999</v>
      </c>
      <c r="T117" s="56">
        <v>3.966844</v>
      </c>
      <c r="U117" s="56">
        <f t="shared" si="31"/>
        <v>2.2058580819546041</v>
      </c>
      <c r="V117" s="56">
        <v>0.78837800000000002</v>
      </c>
      <c r="W117" s="56">
        <v>4.256246</v>
      </c>
      <c r="X117" s="46">
        <f t="shared" si="37"/>
        <v>0.95043367521671074</v>
      </c>
      <c r="Y117" s="46">
        <f t="shared" si="38"/>
        <v>0.9320053399169127</v>
      </c>
      <c r="Z117" s="56">
        <v>1.569232</v>
      </c>
      <c r="AA117" s="56">
        <v>103.85159400000001</v>
      </c>
      <c r="AB117" s="56">
        <f t="shared" si="33"/>
        <v>2.1211501745880983</v>
      </c>
      <c r="AC117" s="97">
        <f t="shared" si="34"/>
        <v>-8.4707907366505797E-2</v>
      </c>
      <c r="AD117" s="42"/>
      <c r="AE117" s="55"/>
    </row>
    <row r="118" spans="1:31" s="36" customFormat="1" x14ac:dyDescent="0.25">
      <c r="A118" s="23" t="s">
        <v>68</v>
      </c>
      <c r="B118" s="34">
        <v>0.73607199999999995</v>
      </c>
      <c r="C118" s="34">
        <v>4.5919030000000003</v>
      </c>
      <c r="D118" s="34">
        <f t="shared" si="26"/>
        <v>2.5993284850757359</v>
      </c>
      <c r="E118" s="34">
        <v>0.84960100000000005</v>
      </c>
      <c r="F118" s="34">
        <v>5.0520139999999998</v>
      </c>
      <c r="G118" s="6">
        <f t="shared" si="35"/>
        <v>0.86637374485199514</v>
      </c>
      <c r="H118" s="6">
        <f t="shared" si="36"/>
        <v>0.90892523259040858</v>
      </c>
      <c r="I118" s="34">
        <v>2.7193489999999998</v>
      </c>
      <c r="J118" s="34">
        <v>211.46278100000001</v>
      </c>
      <c r="K118" s="34">
        <f t="shared" si="29"/>
        <v>2.4923808003972598</v>
      </c>
      <c r="L118" s="63">
        <f t="shared" si="30"/>
        <v>-0.10694768467847604</v>
      </c>
      <c r="M118" s="8"/>
      <c r="N118" s="8"/>
      <c r="O118" s="14"/>
      <c r="P118" s="54"/>
      <c r="Q118" s="42"/>
      <c r="R118" s="67" t="s">
        <v>68</v>
      </c>
      <c r="S118" s="56">
        <v>0.596889</v>
      </c>
      <c r="T118" s="56">
        <v>4.1426470000000002</v>
      </c>
      <c r="U118" s="56">
        <f t="shared" si="31"/>
        <v>2.8918323451540684</v>
      </c>
      <c r="V118" s="56">
        <v>0.613236</v>
      </c>
      <c r="W118" s="56">
        <v>4.2238939999999996</v>
      </c>
      <c r="X118" s="46">
        <f t="shared" si="37"/>
        <v>0.97334305226699025</v>
      </c>
      <c r="Y118" s="46">
        <f t="shared" si="38"/>
        <v>0.98076490555870965</v>
      </c>
      <c r="Z118" s="56">
        <v>2.8554339999999998</v>
      </c>
      <c r="AA118" s="56">
        <v>180.579407</v>
      </c>
      <c r="AB118" s="56">
        <f t="shared" si="33"/>
        <v>2.0269428417572444</v>
      </c>
      <c r="AC118" s="97">
        <f t="shared" si="34"/>
        <v>-0.86488950339682402</v>
      </c>
      <c r="AD118" s="42"/>
      <c r="AE118" s="55"/>
    </row>
    <row r="119" spans="1:31" s="36" customFormat="1" x14ac:dyDescent="0.25">
      <c r="A119" s="23" t="s">
        <v>69</v>
      </c>
      <c r="B119" s="34">
        <v>2.5268459999999999</v>
      </c>
      <c r="C119" s="34">
        <v>9.2812319999999993</v>
      </c>
      <c r="D119" s="34">
        <f t="shared" si="26"/>
        <v>1.5304375494193154</v>
      </c>
      <c r="E119" s="34">
        <v>3.9215399999999998</v>
      </c>
      <c r="F119" s="34">
        <v>16.157218</v>
      </c>
      <c r="G119" s="6">
        <f t="shared" si="35"/>
        <v>0.64435043375816647</v>
      </c>
      <c r="H119" s="6">
        <f t="shared" si="36"/>
        <v>0.57443255392110193</v>
      </c>
      <c r="I119" s="34">
        <v>2.950742</v>
      </c>
      <c r="J119" s="34">
        <v>241.693747</v>
      </c>
      <c r="K119" s="34">
        <f t="shared" si="29"/>
        <v>2.6253038914036555</v>
      </c>
      <c r="L119" s="63">
        <f t="shared" si="30"/>
        <v>1.0948663419843401</v>
      </c>
      <c r="M119" s="8"/>
      <c r="N119" s="8"/>
      <c r="O119" s="14"/>
      <c r="P119" s="54"/>
      <c r="Q119" s="42"/>
      <c r="R119" s="67" t="s">
        <v>69</v>
      </c>
      <c r="S119" s="56">
        <v>2.037785</v>
      </c>
      <c r="T119" s="56">
        <v>6.5971609999999998</v>
      </c>
      <c r="U119" s="56">
        <f t="shared" si="31"/>
        <v>1.3489239950894396</v>
      </c>
      <c r="V119" s="56">
        <v>3.354114</v>
      </c>
      <c r="W119" s="56">
        <v>11.887311</v>
      </c>
      <c r="X119" s="46">
        <f t="shared" si="37"/>
        <v>0.60754792472766284</v>
      </c>
      <c r="Y119" s="46">
        <f t="shared" si="38"/>
        <v>0.55497504860434788</v>
      </c>
      <c r="Z119" s="56">
        <v>3.0186660000000001</v>
      </c>
      <c r="AA119" s="56">
        <v>214.351777</v>
      </c>
      <c r="AB119" s="56">
        <f t="shared" si="33"/>
        <v>2.2759222990620729</v>
      </c>
      <c r="AC119" s="97">
        <f t="shared" si="34"/>
        <v>0.92699830397263328</v>
      </c>
      <c r="AD119" s="42"/>
      <c r="AE119" s="55"/>
    </row>
    <row r="120" spans="1:31" s="36" customFormat="1" x14ac:dyDescent="0.25">
      <c r="A120" s="23" t="s">
        <v>70</v>
      </c>
      <c r="B120" s="34">
        <v>1.411953</v>
      </c>
      <c r="C120" s="34">
        <v>6.2076060000000002</v>
      </c>
      <c r="D120" s="34">
        <f t="shared" si="26"/>
        <v>1.8318616129573717</v>
      </c>
      <c r="E120" s="34">
        <v>1.5146790000000001</v>
      </c>
      <c r="F120" s="34">
        <v>6.7195600000000004</v>
      </c>
      <c r="G120" s="6">
        <f t="shared" si="35"/>
        <v>0.93217968955798547</v>
      </c>
      <c r="H120" s="6">
        <f t="shared" si="36"/>
        <v>0.92381138050705702</v>
      </c>
      <c r="I120" s="34">
        <v>2.6764640000000002</v>
      </c>
      <c r="J120" s="34">
        <v>218.977621</v>
      </c>
      <c r="K120" s="34">
        <f t="shared" si="29"/>
        <v>2.6223081997701976</v>
      </c>
      <c r="L120" s="63">
        <f t="shared" si="30"/>
        <v>0.79044658681282587</v>
      </c>
      <c r="M120" s="8"/>
      <c r="N120" s="8"/>
      <c r="O120" s="14"/>
      <c r="P120" s="54"/>
      <c r="Q120" s="42"/>
      <c r="R120" s="67" t="s">
        <v>70</v>
      </c>
      <c r="S120" s="56">
        <v>1.329779</v>
      </c>
      <c r="T120" s="56">
        <v>5.1866380000000003</v>
      </c>
      <c r="U120" s="56">
        <f t="shared" si="31"/>
        <v>1.6251566363032255</v>
      </c>
      <c r="V120" s="56">
        <v>1.615918</v>
      </c>
      <c r="W120" s="56">
        <v>6.2220009999999997</v>
      </c>
      <c r="X120" s="46">
        <f t="shared" si="37"/>
        <v>0.82292480187732298</v>
      </c>
      <c r="Y120" s="46">
        <f t="shared" si="38"/>
        <v>0.83359645875981059</v>
      </c>
      <c r="Z120" s="56">
        <v>2.3537509999999999</v>
      </c>
      <c r="AA120" s="56">
        <v>166.89507699999999</v>
      </c>
      <c r="AB120" s="56">
        <f t="shared" si="33"/>
        <v>2.2726283221536328</v>
      </c>
      <c r="AC120" s="97">
        <f t="shared" si="34"/>
        <v>0.64747168585040726</v>
      </c>
      <c r="AD120" s="42"/>
      <c r="AE120" s="55"/>
    </row>
    <row r="121" spans="1:31" s="36" customFormat="1" x14ac:dyDescent="0.25">
      <c r="A121" s="23" t="s">
        <v>71</v>
      </c>
      <c r="B121" s="34">
        <v>2.997611</v>
      </c>
      <c r="C121" s="34">
        <v>13.316326</v>
      </c>
      <c r="D121" s="34">
        <f t="shared" si="26"/>
        <v>1.8509637063203552</v>
      </c>
      <c r="E121" s="34">
        <v>3.1485069999999999</v>
      </c>
      <c r="F121" s="34">
        <v>14.312353</v>
      </c>
      <c r="G121" s="6">
        <f t="shared" si="35"/>
        <v>0.95207379243558932</v>
      </c>
      <c r="H121" s="6">
        <f t="shared" si="36"/>
        <v>0.93040787912371925</v>
      </c>
      <c r="I121" s="34">
        <v>1.8685350000000001</v>
      </c>
      <c r="J121" s="34">
        <v>154.08154099999999</v>
      </c>
      <c r="K121" s="34">
        <f t="shared" si="29"/>
        <v>2.6429855097641619</v>
      </c>
      <c r="L121" s="63">
        <f t="shared" si="30"/>
        <v>0.79202180344380668</v>
      </c>
      <c r="M121" s="8"/>
      <c r="N121" s="8"/>
      <c r="O121" s="14"/>
      <c r="P121" s="54"/>
      <c r="Q121" s="42"/>
      <c r="R121" s="67" t="s">
        <v>71</v>
      </c>
      <c r="S121" s="56">
        <v>2.2498079999999998</v>
      </c>
      <c r="T121" s="56">
        <v>9.8125649999999993</v>
      </c>
      <c r="U121" s="56">
        <f t="shared" si="31"/>
        <v>1.8172967426553732</v>
      </c>
      <c r="V121" s="56">
        <v>2.4769570000000001</v>
      </c>
      <c r="W121" s="56">
        <v>10.888987</v>
      </c>
      <c r="X121" s="46">
        <f t="shared" si="37"/>
        <v>0.9082951379454709</v>
      </c>
      <c r="Y121" s="46">
        <f t="shared" si="38"/>
        <v>0.9011458090637815</v>
      </c>
      <c r="Z121" s="56">
        <v>2.0846309999999999</v>
      </c>
      <c r="AA121" s="56">
        <v>144.91157000000001</v>
      </c>
      <c r="AB121" s="56">
        <f t="shared" si="33"/>
        <v>2.2280209795230439</v>
      </c>
      <c r="AC121" s="97">
        <f t="shared" si="34"/>
        <v>0.41072423686767068</v>
      </c>
      <c r="AD121" s="42"/>
      <c r="AE121" s="55"/>
    </row>
    <row r="122" spans="1:31" s="36" customFormat="1" x14ac:dyDescent="0.25">
      <c r="A122" s="23" t="s">
        <v>72</v>
      </c>
      <c r="B122" s="34">
        <v>1.8159479999999999</v>
      </c>
      <c r="C122" s="34">
        <v>9.1306879999999992</v>
      </c>
      <c r="D122" s="34">
        <f t="shared" si="26"/>
        <v>2.0950232789338314</v>
      </c>
      <c r="E122" s="34">
        <v>1.99044</v>
      </c>
      <c r="F122" s="34">
        <v>10.012385</v>
      </c>
      <c r="G122" s="6">
        <f t="shared" si="35"/>
        <v>0.91233496111412549</v>
      </c>
      <c r="H122" s="6">
        <f t="shared" si="36"/>
        <v>0.91193936309880208</v>
      </c>
      <c r="I122" s="34">
        <v>2.285396</v>
      </c>
      <c r="J122" s="34">
        <v>180.555801</v>
      </c>
      <c r="K122" s="34">
        <f t="shared" si="29"/>
        <v>2.5321847521594303</v>
      </c>
      <c r="L122" s="63">
        <f t="shared" si="30"/>
        <v>0.43716147322559884</v>
      </c>
      <c r="M122" s="8"/>
      <c r="N122" s="8"/>
      <c r="O122" s="14"/>
      <c r="P122" s="54"/>
      <c r="Q122" s="42"/>
      <c r="R122" s="67" t="s">
        <v>72</v>
      </c>
      <c r="S122" s="56">
        <v>2.1020910000000002</v>
      </c>
      <c r="T122" s="56">
        <v>10.894142</v>
      </c>
      <c r="U122" s="56">
        <f t="shared" si="31"/>
        <v>2.1593859796428099</v>
      </c>
      <c r="V122" s="56">
        <v>2.384925</v>
      </c>
      <c r="W122" s="56">
        <v>12.267884</v>
      </c>
      <c r="X122" s="46">
        <f t="shared" si="37"/>
        <v>0.88140759143369296</v>
      </c>
      <c r="Y122" s="46">
        <f t="shared" si="38"/>
        <v>0.88802127571470357</v>
      </c>
      <c r="Z122" s="56">
        <v>2.4009779999999998</v>
      </c>
      <c r="AA122" s="56">
        <v>156.42516499999999</v>
      </c>
      <c r="AB122" s="56">
        <f t="shared" si="33"/>
        <v>2.0881603593757769</v>
      </c>
      <c r="AC122" s="97">
        <f t="shared" si="34"/>
        <v>-7.1225620267032941E-2</v>
      </c>
      <c r="AD122" s="42"/>
      <c r="AE122" s="55"/>
    </row>
    <row r="123" spans="1:31" s="36" customFormat="1" x14ac:dyDescent="0.25">
      <c r="A123" s="23" t="s">
        <v>73</v>
      </c>
      <c r="B123" s="34">
        <v>5.9172779999999996</v>
      </c>
      <c r="C123" s="34">
        <v>26.378882999999998</v>
      </c>
      <c r="D123" s="34">
        <f t="shared" si="26"/>
        <v>1.857475895166663</v>
      </c>
      <c r="E123" s="34">
        <v>11.439337</v>
      </c>
      <c r="F123" s="34">
        <v>43.573286000000003</v>
      </c>
      <c r="G123" s="6">
        <f t="shared" si="35"/>
        <v>0.51727455883151263</v>
      </c>
      <c r="H123" s="6">
        <f t="shared" si="36"/>
        <v>0.60539117935700315</v>
      </c>
      <c r="I123" s="34">
        <v>2.381659</v>
      </c>
      <c r="J123" s="34">
        <v>186.12142600000001</v>
      </c>
      <c r="K123" s="34">
        <f t="shared" si="29"/>
        <v>2.5047373786561473</v>
      </c>
      <c r="L123" s="63">
        <f t="shared" si="30"/>
        <v>0.64726148348948431</v>
      </c>
      <c r="M123" s="8"/>
      <c r="N123" s="8"/>
      <c r="O123" s="14"/>
      <c r="P123" s="54"/>
      <c r="Q123" s="42"/>
      <c r="R123" s="67" t="s">
        <v>73</v>
      </c>
      <c r="S123" s="56">
        <v>6.3724959999999999</v>
      </c>
      <c r="T123" s="56">
        <v>31.10558</v>
      </c>
      <c r="U123" s="56">
        <f t="shared" si="31"/>
        <v>2.0338433061916925</v>
      </c>
      <c r="V123" s="56">
        <v>12.124831</v>
      </c>
      <c r="W123" s="56">
        <v>48.972498000000002</v>
      </c>
      <c r="X123" s="46">
        <f t="shared" si="37"/>
        <v>0.52557400593872194</v>
      </c>
      <c r="Y123" s="46">
        <f t="shared" si="38"/>
        <v>0.63516425075968141</v>
      </c>
      <c r="Z123" s="56">
        <v>2.43994</v>
      </c>
      <c r="AA123" s="56">
        <v>159.874414</v>
      </c>
      <c r="AB123" s="56">
        <f t="shared" si="33"/>
        <v>2.1001253866478011</v>
      </c>
      <c r="AC123" s="97">
        <f t="shared" si="34"/>
        <v>6.6282080456108616E-2</v>
      </c>
      <c r="AD123" s="42"/>
      <c r="AE123" s="55"/>
    </row>
    <row r="124" spans="1:31" s="36" customFormat="1" x14ac:dyDescent="0.25">
      <c r="A124" s="23" t="s">
        <v>74</v>
      </c>
      <c r="B124" s="34">
        <v>0.34299200000000002</v>
      </c>
      <c r="C124" s="34">
        <v>2.8261180000000001</v>
      </c>
      <c r="D124" s="34">
        <f t="shared" si="26"/>
        <v>3.4331680233552579</v>
      </c>
      <c r="E124" s="34">
        <v>0.42872399999999999</v>
      </c>
      <c r="F124" s="34">
        <v>3.372922</v>
      </c>
      <c r="G124" s="6">
        <f t="shared" si="35"/>
        <v>0.80002985603791721</v>
      </c>
      <c r="H124" s="6">
        <f t="shared" si="36"/>
        <v>0.83788418469208603</v>
      </c>
      <c r="I124" s="34">
        <v>1.9186240000000001</v>
      </c>
      <c r="J124" s="34">
        <v>173.32238000000001</v>
      </c>
      <c r="K124" s="34">
        <f t="shared" si="29"/>
        <v>2.8954107147515549</v>
      </c>
      <c r="L124" s="63">
        <f t="shared" si="30"/>
        <v>-0.53775730860370308</v>
      </c>
      <c r="M124" s="8"/>
      <c r="N124" s="8"/>
      <c r="O124" s="14"/>
      <c r="P124" s="54"/>
      <c r="Q124" s="42"/>
      <c r="R124" s="67" t="s">
        <v>74</v>
      </c>
      <c r="S124" s="56">
        <v>0.116185</v>
      </c>
      <c r="T124" s="56">
        <v>1.036975</v>
      </c>
      <c r="U124" s="56">
        <f t="shared" si="31"/>
        <v>3.7188356213510065</v>
      </c>
      <c r="V124" s="56">
        <v>0.116185</v>
      </c>
      <c r="W124" s="56">
        <v>1.036975</v>
      </c>
      <c r="X124" s="46">
        <f t="shared" si="37"/>
        <v>1</v>
      </c>
      <c r="Y124" s="46">
        <f t="shared" si="38"/>
        <v>1</v>
      </c>
      <c r="Z124" s="56">
        <v>2.3626399999999999</v>
      </c>
      <c r="AA124" s="56">
        <v>180.447101</v>
      </c>
      <c r="AB124" s="56">
        <f t="shared" si="33"/>
        <v>2.4479230561944183</v>
      </c>
      <c r="AC124" s="97">
        <f t="shared" si="34"/>
        <v>-1.2709125651565882</v>
      </c>
      <c r="AD124" s="42"/>
      <c r="AE124" s="55"/>
    </row>
    <row r="125" spans="1:31" s="36" customFormat="1" x14ac:dyDescent="0.25">
      <c r="A125" s="23" t="s">
        <v>75</v>
      </c>
      <c r="B125" s="34">
        <v>1.317188</v>
      </c>
      <c r="C125" s="34">
        <v>4.160291</v>
      </c>
      <c r="D125" s="34">
        <f t="shared" si="26"/>
        <v>1.3160267048692618</v>
      </c>
      <c r="E125" s="34">
        <v>8.0756119999999996</v>
      </c>
      <c r="F125" s="34">
        <v>26.606089999999998</v>
      </c>
      <c r="G125" s="6">
        <f t="shared" si="35"/>
        <v>0.1631068951802043</v>
      </c>
      <c r="H125" s="6">
        <f t="shared" si="36"/>
        <v>0.15636611768207956</v>
      </c>
      <c r="I125" s="34">
        <v>1.6476839999999999</v>
      </c>
      <c r="J125" s="34">
        <v>183.010257</v>
      </c>
      <c r="K125" s="34">
        <f t="shared" si="29"/>
        <v>3.5599747071553862</v>
      </c>
      <c r="L125" s="63">
        <f t="shared" si="30"/>
        <v>2.2439480022861247</v>
      </c>
      <c r="M125" s="8"/>
      <c r="N125" s="8"/>
      <c r="O125" s="14"/>
      <c r="P125" s="54"/>
      <c r="Q125" s="42"/>
      <c r="R125" s="67" t="s">
        <v>75</v>
      </c>
      <c r="S125" s="56">
        <v>3.2474820000000002</v>
      </c>
      <c r="T125" s="56">
        <v>18.367614</v>
      </c>
      <c r="U125" s="56">
        <f t="shared" si="31"/>
        <v>2.356648166179212</v>
      </c>
      <c r="V125" s="56">
        <v>5.3630440000000004</v>
      </c>
      <c r="W125" s="56">
        <v>28.451371000000002</v>
      </c>
      <c r="X125" s="46">
        <f t="shared" si="37"/>
        <v>0.60552962086456874</v>
      </c>
      <c r="Y125" s="46">
        <f t="shared" si="38"/>
        <v>0.64557922358117636</v>
      </c>
      <c r="Z125" s="56">
        <v>1.5847439999999999</v>
      </c>
      <c r="AA125" s="56">
        <v>157.57684399999999</v>
      </c>
      <c r="AB125" s="56">
        <f t="shared" si="33"/>
        <v>3.1869752286772322</v>
      </c>
      <c r="AC125" s="97">
        <f t="shared" si="34"/>
        <v>0.83032706249802013</v>
      </c>
      <c r="AD125" s="42"/>
      <c r="AE125" s="55"/>
    </row>
    <row r="126" spans="1:31" s="36" customFormat="1" x14ac:dyDescent="0.25">
      <c r="A126" s="23" t="s">
        <v>76</v>
      </c>
      <c r="B126" s="34">
        <v>1.99126</v>
      </c>
      <c r="C126" s="34">
        <v>9.3758320000000008</v>
      </c>
      <c r="D126" s="34">
        <f t="shared" si="26"/>
        <v>1.9618717127179108</v>
      </c>
      <c r="E126" s="34">
        <v>2.1856779999999998</v>
      </c>
      <c r="F126" s="34">
        <v>10.029168</v>
      </c>
      <c r="G126" s="6">
        <f t="shared" si="35"/>
        <v>0.91104911153427004</v>
      </c>
      <c r="H126" s="6">
        <f t="shared" si="36"/>
        <v>0.93485641082091764</v>
      </c>
      <c r="I126" s="34">
        <v>1.9791810000000001</v>
      </c>
      <c r="J126" s="34">
        <v>156.66169099999999</v>
      </c>
      <c r="K126" s="34">
        <f t="shared" si="29"/>
        <v>2.5370130598827467</v>
      </c>
      <c r="L126" s="63">
        <f t="shared" si="30"/>
        <v>0.57514134716483589</v>
      </c>
      <c r="M126" s="8"/>
      <c r="N126" s="8"/>
      <c r="O126" s="14"/>
      <c r="P126" s="54"/>
      <c r="Q126" s="42"/>
      <c r="R126" s="67" t="s">
        <v>76</v>
      </c>
      <c r="S126" s="56">
        <v>1.0758190000000001</v>
      </c>
      <c r="T126" s="56">
        <v>4.7946540000000004</v>
      </c>
      <c r="U126" s="56">
        <f t="shared" si="31"/>
        <v>1.8569782649311828</v>
      </c>
      <c r="V126" s="56">
        <v>1.2967010000000001</v>
      </c>
      <c r="W126" s="56">
        <v>5.7435070000000001</v>
      </c>
      <c r="X126" s="46">
        <f t="shared" si="37"/>
        <v>0.82965849490360533</v>
      </c>
      <c r="Y126" s="46">
        <f t="shared" si="38"/>
        <v>0.83479553520175043</v>
      </c>
      <c r="Z126" s="56">
        <v>2.1294900000000001</v>
      </c>
      <c r="AA126" s="56">
        <v>142.02345600000001</v>
      </c>
      <c r="AB126" s="56">
        <f t="shared" si="33"/>
        <v>2.1376169158595939</v>
      </c>
      <c r="AC126" s="97">
        <f t="shared" si="34"/>
        <v>0.28063865092841112</v>
      </c>
      <c r="AD126" s="42"/>
      <c r="AE126" s="55"/>
    </row>
    <row r="127" spans="1:31" s="36" customFormat="1" x14ac:dyDescent="0.25">
      <c r="A127" s="23" t="s">
        <v>77</v>
      </c>
      <c r="B127" s="34">
        <v>0.76322800000000002</v>
      </c>
      <c r="C127" s="34">
        <v>3.9277120000000001</v>
      </c>
      <c r="D127" s="34">
        <f t="shared" si="26"/>
        <v>2.1442434851272054</v>
      </c>
      <c r="E127" s="34">
        <v>0.88676999999999995</v>
      </c>
      <c r="F127" s="34">
        <v>4.4893150000000004</v>
      </c>
      <c r="G127" s="6">
        <f t="shared" si="35"/>
        <v>0.86068315346707724</v>
      </c>
      <c r="H127" s="6">
        <f t="shared" si="36"/>
        <v>0.87490229578454615</v>
      </c>
      <c r="I127" s="34">
        <v>2.4963760000000002</v>
      </c>
      <c r="J127" s="34">
        <v>193.512111</v>
      </c>
      <c r="K127" s="34">
        <f t="shared" si="29"/>
        <v>2.4845260689896072</v>
      </c>
      <c r="L127" s="63">
        <f t="shared" si="30"/>
        <v>0.34028258386240173</v>
      </c>
      <c r="M127" s="8"/>
      <c r="N127" s="8"/>
      <c r="O127" s="14"/>
      <c r="P127" s="54"/>
      <c r="Q127" s="42"/>
      <c r="R127" s="67" t="s">
        <v>77</v>
      </c>
      <c r="S127" s="56">
        <v>0.50286399999999998</v>
      </c>
      <c r="T127" s="56">
        <v>2.584978</v>
      </c>
      <c r="U127" s="56">
        <f t="shared" si="31"/>
        <v>2.1418796467169385</v>
      </c>
      <c r="V127" s="56">
        <v>0.54158700000000004</v>
      </c>
      <c r="W127" s="56">
        <v>2.8138019999999999</v>
      </c>
      <c r="X127" s="46">
        <f t="shared" si="37"/>
        <v>0.92850086874315663</v>
      </c>
      <c r="Y127" s="46">
        <f t="shared" si="38"/>
        <v>0.9186780022190616</v>
      </c>
      <c r="Z127" s="56">
        <v>2.46407</v>
      </c>
      <c r="AA127" s="56">
        <v>158.54710499999999</v>
      </c>
      <c r="AB127" s="56">
        <f t="shared" si="33"/>
        <v>2.062294488699278</v>
      </c>
      <c r="AC127" s="97">
        <f t="shared" si="34"/>
        <v>-7.9585158017660529E-2</v>
      </c>
      <c r="AD127" s="42"/>
      <c r="AE127" s="55"/>
    </row>
    <row r="128" spans="1:31" s="36" customFormat="1" x14ac:dyDescent="0.25">
      <c r="A128" s="23" t="s">
        <v>78</v>
      </c>
      <c r="B128" s="34">
        <v>0.49687999999999999</v>
      </c>
      <c r="C128" s="34">
        <v>3.9861170000000001</v>
      </c>
      <c r="D128" s="34">
        <f t="shared" si="26"/>
        <v>3.342622128750067</v>
      </c>
      <c r="E128" s="34">
        <v>0.65990599999999999</v>
      </c>
      <c r="F128" s="34">
        <v>5.2794879999999997</v>
      </c>
      <c r="G128" s="6">
        <f t="shared" si="35"/>
        <v>0.75295572399705413</v>
      </c>
      <c r="H128" s="6">
        <f t="shared" si="36"/>
        <v>0.75501961553847652</v>
      </c>
      <c r="I128" s="34">
        <v>2.0042620000000002</v>
      </c>
      <c r="J128" s="34">
        <v>172.41153800000001</v>
      </c>
      <c r="K128" s="34">
        <f t="shared" si="29"/>
        <v>2.7571299726948535</v>
      </c>
      <c r="L128" s="63">
        <f t="shared" si="30"/>
        <v>-0.58549215605521354</v>
      </c>
      <c r="M128" s="8"/>
      <c r="N128" s="8"/>
      <c r="O128" s="14"/>
      <c r="P128" s="54"/>
      <c r="Q128" s="42"/>
      <c r="R128" s="67" t="s">
        <v>78</v>
      </c>
      <c r="S128" s="56">
        <v>0.48982199999999998</v>
      </c>
      <c r="T128" s="56">
        <v>4.6647109999999996</v>
      </c>
      <c r="U128" s="56">
        <f t="shared" si="31"/>
        <v>3.9680324349117302</v>
      </c>
      <c r="V128" s="56">
        <v>0.54664299999999999</v>
      </c>
      <c r="W128" s="56">
        <v>5.1333770000000003</v>
      </c>
      <c r="X128" s="46">
        <f t="shared" si="37"/>
        <v>0.89605464626822262</v>
      </c>
      <c r="Y128" s="46">
        <f t="shared" si="38"/>
        <v>0.90870220519552714</v>
      </c>
      <c r="Z128" s="56">
        <v>1.9965649999999999</v>
      </c>
      <c r="AA128" s="56">
        <v>158.61083400000001</v>
      </c>
      <c r="AB128" s="56">
        <f t="shared" si="33"/>
        <v>2.5462134099932023</v>
      </c>
      <c r="AC128" s="97">
        <f t="shared" si="34"/>
        <v>-1.4218190249185279</v>
      </c>
      <c r="AD128" s="42"/>
      <c r="AE128" s="55"/>
    </row>
    <row r="129" spans="1:31" s="36" customFormat="1" x14ac:dyDescent="0.25">
      <c r="A129" s="23" t="s">
        <v>79</v>
      </c>
      <c r="B129" s="34">
        <v>2.909208</v>
      </c>
      <c r="C129" s="34">
        <v>13.12372</v>
      </c>
      <c r="D129" s="34">
        <f t="shared" si="26"/>
        <v>1.8796238243077386</v>
      </c>
      <c r="E129" s="34">
        <v>4.8205330000000002</v>
      </c>
      <c r="F129" s="34">
        <v>20.682188</v>
      </c>
      <c r="G129" s="6">
        <f t="shared" si="35"/>
        <v>0.60350338852570862</v>
      </c>
      <c r="H129" s="6">
        <f t="shared" si="36"/>
        <v>0.63454214805512843</v>
      </c>
      <c r="I129" s="34">
        <v>2.1398760000000001</v>
      </c>
      <c r="J129" s="34">
        <v>177.713494</v>
      </c>
      <c r="K129" s="34">
        <f t="shared" si="29"/>
        <v>2.6618109276017954</v>
      </c>
      <c r="L129" s="63">
        <f t="shared" si="30"/>
        <v>0.78218710329405683</v>
      </c>
      <c r="M129" s="8"/>
      <c r="N129" s="8"/>
      <c r="O129" s="14"/>
      <c r="P129" s="54"/>
      <c r="Q129" s="42"/>
      <c r="R129" s="67" t="s">
        <v>79</v>
      </c>
      <c r="S129" s="56">
        <v>2.9633090000000002</v>
      </c>
      <c r="T129" s="56">
        <v>15.896506</v>
      </c>
      <c r="U129" s="56">
        <f t="shared" si="31"/>
        <v>2.2351851145684321</v>
      </c>
      <c r="V129" s="56">
        <v>3.7380689999999999</v>
      </c>
      <c r="W129" s="56">
        <v>18.816972</v>
      </c>
      <c r="X129" s="46">
        <f t="shared" si="37"/>
        <v>0.79273790826226065</v>
      </c>
      <c r="Y129" s="46">
        <f t="shared" si="38"/>
        <v>0.84479617655805628</v>
      </c>
      <c r="Z129" s="56">
        <v>2.2864230000000001</v>
      </c>
      <c r="AA129" s="56">
        <v>170.39272199999999</v>
      </c>
      <c r="AB129" s="56">
        <f t="shared" si="33"/>
        <v>2.3885804124204886</v>
      </c>
      <c r="AC129" s="97">
        <f t="shared" si="34"/>
        <v>0.15339529785205652</v>
      </c>
      <c r="AD129" s="42"/>
      <c r="AE129" s="55"/>
    </row>
    <row r="130" spans="1:31" s="36" customFormat="1" x14ac:dyDescent="0.25">
      <c r="A130" s="23" t="s">
        <v>80</v>
      </c>
      <c r="B130" s="34">
        <v>7.6945E-2</v>
      </c>
      <c r="C130" s="34">
        <v>0.34943299999999999</v>
      </c>
      <c r="D130" s="34">
        <f t="shared" si="26"/>
        <v>1.8922227998353802</v>
      </c>
      <c r="E130" s="34">
        <v>0.28506599999999999</v>
      </c>
      <c r="F130" s="34">
        <v>2.111739</v>
      </c>
      <c r="G130" s="6">
        <f t="shared" si="35"/>
        <v>0.26991994836283528</v>
      </c>
      <c r="H130" s="6">
        <f t="shared" si="36"/>
        <v>0.16547167997560305</v>
      </c>
      <c r="I130" s="34">
        <v>3.8717199999999998</v>
      </c>
      <c r="J130" s="34">
        <v>274.60286000000002</v>
      </c>
      <c r="K130" s="34">
        <f t="shared" si="29"/>
        <v>2.2732464429113466</v>
      </c>
      <c r="L130" s="63">
        <f t="shared" si="30"/>
        <v>0.38102364307596637</v>
      </c>
      <c r="M130" s="8"/>
      <c r="N130" s="8"/>
      <c r="O130" s="14"/>
      <c r="P130" s="54"/>
      <c r="Q130" s="42"/>
      <c r="R130" s="67" t="s">
        <v>80</v>
      </c>
      <c r="S130" s="56">
        <v>0</v>
      </c>
      <c r="T130" s="56">
        <v>0</v>
      </c>
      <c r="U130" s="56">
        <v>0</v>
      </c>
      <c r="V130" s="56">
        <v>6.8225999999999995E-2</v>
      </c>
      <c r="W130" s="56">
        <v>0.32751799999999998</v>
      </c>
      <c r="X130" s="46">
        <f t="shared" si="37"/>
        <v>0</v>
      </c>
      <c r="Y130" s="46">
        <f t="shared" si="38"/>
        <v>0</v>
      </c>
      <c r="Z130" s="56">
        <v>3.5283280000000001</v>
      </c>
      <c r="AA130" s="56">
        <v>239.28874999999999</v>
      </c>
      <c r="AB130" s="56">
        <f t="shared" si="33"/>
        <v>2.1736956478957503</v>
      </c>
      <c r="AC130" s="97">
        <f t="shared" si="34"/>
        <v>2.1736956478957503</v>
      </c>
      <c r="AD130" s="42"/>
      <c r="AE130" s="55"/>
    </row>
    <row r="131" spans="1:31" s="36" customFormat="1" x14ac:dyDescent="0.25">
      <c r="A131" s="23" t="s">
        <v>81</v>
      </c>
      <c r="B131" s="34">
        <v>12.792699000000001</v>
      </c>
      <c r="C131" s="34">
        <v>54.468781999999997</v>
      </c>
      <c r="D131" s="34">
        <f t="shared" si="26"/>
        <v>1.7740842517543274</v>
      </c>
      <c r="E131" s="34">
        <v>22.278373999999999</v>
      </c>
      <c r="F131" s="34">
        <v>80.965031999999994</v>
      </c>
      <c r="G131" s="6">
        <f t="shared" si="35"/>
        <v>0.57422049742050296</v>
      </c>
      <c r="H131" s="6">
        <f t="shared" si="36"/>
        <v>0.67274452506855065</v>
      </c>
      <c r="I131" s="34">
        <v>2.1555460000000002</v>
      </c>
      <c r="J131" s="34">
        <v>182.938703</v>
      </c>
      <c r="K131" s="34">
        <f t="shared" si="29"/>
        <v>2.7201553425205107</v>
      </c>
      <c r="L131" s="63">
        <f t="shared" si="30"/>
        <v>0.94607109076618334</v>
      </c>
      <c r="M131" s="8"/>
      <c r="N131" s="8"/>
      <c r="O131" s="14"/>
      <c r="P131" s="54"/>
      <c r="Q131" s="42"/>
      <c r="R131" s="67" t="s">
        <v>81</v>
      </c>
      <c r="S131" s="56">
        <v>9.3265150000000006</v>
      </c>
      <c r="T131" s="56">
        <v>37.503126999999999</v>
      </c>
      <c r="U131" s="56">
        <f t="shared" si="31"/>
        <v>1.6754707322795992</v>
      </c>
      <c r="V131" s="56">
        <v>19.769421000000001</v>
      </c>
      <c r="W131" s="56">
        <v>67.600909000000001</v>
      </c>
      <c r="X131" s="46">
        <f t="shared" si="37"/>
        <v>0.47176470165717044</v>
      </c>
      <c r="Y131" s="46">
        <f t="shared" si="38"/>
        <v>0.55477252532210775</v>
      </c>
      <c r="Z131" s="56">
        <v>2.1787640000000001</v>
      </c>
      <c r="AA131" s="56">
        <v>173.176309</v>
      </c>
      <c r="AB131" s="56">
        <f t="shared" si="33"/>
        <v>2.5475557354348495</v>
      </c>
      <c r="AC131" s="97">
        <f t="shared" si="34"/>
        <v>0.87208500315525028</v>
      </c>
      <c r="AD131" s="42"/>
      <c r="AE131" s="55"/>
    </row>
    <row r="132" spans="1:31" s="36" customFormat="1" x14ac:dyDescent="0.25">
      <c r="A132" s="23" t="s">
        <v>82</v>
      </c>
      <c r="B132" s="34">
        <v>11.647648</v>
      </c>
      <c r="C132" s="34">
        <v>51.931643000000001</v>
      </c>
      <c r="D132" s="34">
        <f t="shared" si="26"/>
        <v>1.8577299540073098</v>
      </c>
      <c r="E132" s="34">
        <v>12.153098999999999</v>
      </c>
      <c r="F132" s="34">
        <v>53.453715000000003</v>
      </c>
      <c r="G132" s="6">
        <f t="shared" si="35"/>
        <v>0.95840970274330861</v>
      </c>
      <c r="H132" s="6">
        <f t="shared" si="36"/>
        <v>0.97152542157266331</v>
      </c>
      <c r="I132" s="34">
        <v>2.1045340000000001</v>
      </c>
      <c r="J132" s="34">
        <v>168.75442799999999</v>
      </c>
      <c r="K132" s="34">
        <f t="shared" si="29"/>
        <v>2.5700681334826467</v>
      </c>
      <c r="L132" s="63">
        <f t="shared" si="30"/>
        <v>0.71233817947533695</v>
      </c>
      <c r="M132" s="8"/>
      <c r="N132" s="8"/>
      <c r="O132" s="14"/>
      <c r="P132" s="54"/>
      <c r="Q132" s="42"/>
      <c r="R132" s="67" t="s">
        <v>82</v>
      </c>
      <c r="S132" s="56">
        <v>8.8728449999999999</v>
      </c>
      <c r="T132" s="56">
        <v>42.164875000000002</v>
      </c>
      <c r="U132" s="56">
        <f t="shared" si="31"/>
        <v>1.9800523864292308</v>
      </c>
      <c r="V132" s="56">
        <v>9.2066909999999993</v>
      </c>
      <c r="W132" s="56">
        <v>43.351827</v>
      </c>
      <c r="X132" s="46">
        <f t="shared" si="37"/>
        <v>0.96373876347104515</v>
      </c>
      <c r="Y132" s="46">
        <f t="shared" si="38"/>
        <v>0.97262048494519049</v>
      </c>
      <c r="Z132" s="56">
        <v>2.243735</v>
      </c>
      <c r="AA132" s="56">
        <v>148.00399999999999</v>
      </c>
      <c r="AB132" s="56">
        <f t="shared" si="33"/>
        <v>2.1142059774072912</v>
      </c>
      <c r="AC132" s="97">
        <f t="shared" si="34"/>
        <v>0.13415359097806046</v>
      </c>
      <c r="AD132" s="42"/>
      <c r="AE132" s="55"/>
    </row>
    <row r="133" spans="1:31" s="36" customFormat="1" x14ac:dyDescent="0.25">
      <c r="A133" s="23" t="s">
        <v>83</v>
      </c>
      <c r="B133" s="34">
        <v>1.3107839999999999</v>
      </c>
      <c r="C133" s="34">
        <v>8.2685899999999997</v>
      </c>
      <c r="D133" s="34">
        <f t="shared" si="26"/>
        <v>2.6283856328222908</v>
      </c>
      <c r="E133" s="34">
        <v>1.598193</v>
      </c>
      <c r="F133" s="34">
        <v>9.4182269999999999</v>
      </c>
      <c r="G133" s="6">
        <f t="shared" si="35"/>
        <v>0.82016627528715236</v>
      </c>
      <c r="H133" s="6">
        <f t="shared" si="36"/>
        <v>0.87793488094946104</v>
      </c>
      <c r="I133" s="34">
        <v>2.7974510000000001</v>
      </c>
      <c r="J133" s="34">
        <v>222.45387099999999</v>
      </c>
      <c r="K133" s="34">
        <f t="shared" si="29"/>
        <v>2.5487244505160276</v>
      </c>
      <c r="L133" s="63">
        <f t="shared" si="30"/>
        <v>-7.9661182306263179E-2</v>
      </c>
      <c r="M133" s="8"/>
      <c r="N133" s="8"/>
      <c r="O133" s="14"/>
      <c r="P133" s="54"/>
      <c r="Q133" s="42"/>
      <c r="R133" s="67" t="s">
        <v>83</v>
      </c>
      <c r="S133" s="56">
        <v>0.118627</v>
      </c>
      <c r="T133" s="56">
        <v>1.3724000000000001</v>
      </c>
      <c r="U133" s="56">
        <f t="shared" si="31"/>
        <v>4.8204315487480374</v>
      </c>
      <c r="V133" s="56">
        <v>0.118627</v>
      </c>
      <c r="W133" s="56">
        <v>1.3724000000000001</v>
      </c>
      <c r="X133" s="46">
        <f t="shared" si="37"/>
        <v>1</v>
      </c>
      <c r="Y133" s="46">
        <f t="shared" si="38"/>
        <v>1</v>
      </c>
      <c r="Z133" s="56">
        <v>2.92916</v>
      </c>
      <c r="AA133" s="56">
        <v>201.69390999999999</v>
      </c>
      <c r="AB133" s="56">
        <f t="shared" si="33"/>
        <v>2.2069632240764916</v>
      </c>
      <c r="AC133" s="97">
        <f t="shared" si="34"/>
        <v>-2.6134683246715458</v>
      </c>
      <c r="AD133" s="42"/>
      <c r="AE133" s="55"/>
    </row>
    <row r="134" spans="1:31" s="36" customFormat="1" x14ac:dyDescent="0.25">
      <c r="A134" s="23" t="s">
        <v>84</v>
      </c>
      <c r="B134" s="34">
        <v>1.102725</v>
      </c>
      <c r="C134" s="34">
        <v>8.5035629999999998</v>
      </c>
      <c r="D134" s="34">
        <f t="shared" si="26"/>
        <v>3.2130868983654128</v>
      </c>
      <c r="E134" s="34">
        <v>1.153475</v>
      </c>
      <c r="F134" s="34">
        <v>8.8281650000000003</v>
      </c>
      <c r="G134" s="6">
        <f t="shared" si="35"/>
        <v>0.95600251414204895</v>
      </c>
      <c r="H134" s="6">
        <f t="shared" si="36"/>
        <v>0.96323109049275801</v>
      </c>
      <c r="I134" s="34">
        <v>2.8929800000000001</v>
      </c>
      <c r="J134" s="34">
        <v>230.33394200000001</v>
      </c>
      <c r="K134" s="34">
        <f t="shared" si="29"/>
        <v>2.5518662904775145</v>
      </c>
      <c r="L134" s="63">
        <f t="shared" si="30"/>
        <v>-0.66122060788789838</v>
      </c>
      <c r="M134" s="8"/>
      <c r="N134" s="8"/>
      <c r="O134" s="14"/>
      <c r="P134" s="54"/>
      <c r="Q134" s="42"/>
      <c r="R134" s="67" t="s">
        <v>84</v>
      </c>
      <c r="S134" s="56">
        <v>0.52685499999999996</v>
      </c>
      <c r="T134" s="56">
        <v>4.3398079999999997</v>
      </c>
      <c r="U134" s="56">
        <f t="shared" si="31"/>
        <v>3.4321650802086596</v>
      </c>
      <c r="V134" s="56">
        <v>0.538215</v>
      </c>
      <c r="W134" s="56">
        <v>4.4287140000000003</v>
      </c>
      <c r="X134" s="46">
        <f t="shared" si="37"/>
        <v>0.97889319324061941</v>
      </c>
      <c r="Y134" s="46">
        <f t="shared" si="38"/>
        <v>0.97992509789523541</v>
      </c>
      <c r="Z134" s="56">
        <v>3.107593</v>
      </c>
      <c r="AA134" s="56">
        <v>202.30345</v>
      </c>
      <c r="AB134" s="56">
        <f t="shared" si="33"/>
        <v>2.0865296504070625</v>
      </c>
      <c r="AC134" s="97">
        <f t="shared" si="34"/>
        <v>-1.3456354298015971</v>
      </c>
      <c r="AD134" s="42"/>
      <c r="AE134" s="55"/>
    </row>
    <row r="135" spans="1:31" s="36" customFormat="1" x14ac:dyDescent="0.25">
      <c r="A135" s="23" t="s">
        <v>85</v>
      </c>
      <c r="B135" s="34">
        <v>2.284589</v>
      </c>
      <c r="C135" s="34">
        <v>12.119382</v>
      </c>
      <c r="D135" s="34">
        <f t="shared" si="26"/>
        <v>2.2103505269437962</v>
      </c>
      <c r="E135" s="34">
        <v>3.4087990000000001</v>
      </c>
      <c r="F135" s="34">
        <v>17.679876</v>
      </c>
      <c r="G135" s="6">
        <f t="shared" si="35"/>
        <v>0.67020349395784262</v>
      </c>
      <c r="H135" s="6">
        <f t="shared" si="36"/>
        <v>0.68549021497662088</v>
      </c>
      <c r="I135" s="34">
        <v>2.1724800000000002</v>
      </c>
      <c r="J135" s="34">
        <v>167.85770400000001</v>
      </c>
      <c r="K135" s="34">
        <f t="shared" si="29"/>
        <v>2.476457603929433</v>
      </c>
      <c r="L135" s="63">
        <f t="shared" si="30"/>
        <v>0.26610707698563685</v>
      </c>
      <c r="M135" s="8"/>
      <c r="N135" s="8"/>
      <c r="O135" s="14"/>
      <c r="P135" s="54"/>
      <c r="Q135" s="42"/>
      <c r="R135" s="67" t="s">
        <v>85</v>
      </c>
      <c r="S135" s="56">
        <v>2.7074940000000001</v>
      </c>
      <c r="T135" s="56">
        <v>14.344861</v>
      </c>
      <c r="U135" s="56">
        <f t="shared" si="31"/>
        <v>2.2075858401409816</v>
      </c>
      <c r="V135" s="56">
        <v>3.2667730000000001</v>
      </c>
      <c r="W135" s="56">
        <v>16.449563000000001</v>
      </c>
      <c r="X135" s="46">
        <f t="shared" si="37"/>
        <v>0.82879771566619409</v>
      </c>
      <c r="Y135" s="46">
        <f t="shared" si="38"/>
        <v>0.87205119066080961</v>
      </c>
      <c r="Z135" s="56">
        <v>2.2815799999999999</v>
      </c>
      <c r="AA135" s="56">
        <v>146.73102700000001</v>
      </c>
      <c r="AB135" s="56">
        <f t="shared" si="33"/>
        <v>2.0612547147377183</v>
      </c>
      <c r="AC135" s="97">
        <f t="shared" si="34"/>
        <v>-0.14633112540326332</v>
      </c>
      <c r="AD135" s="42"/>
      <c r="AE135" s="55"/>
    </row>
    <row r="136" spans="1:31" s="36" customFormat="1" x14ac:dyDescent="0.25">
      <c r="A136" s="23" t="s">
        <v>86</v>
      </c>
      <c r="B136" s="34">
        <v>0.20141300000000001</v>
      </c>
      <c r="C136" s="34">
        <v>0.60424</v>
      </c>
      <c r="D136" s="34">
        <f t="shared" si="26"/>
        <v>1.2500020687178417</v>
      </c>
      <c r="E136" s="34">
        <v>0.316249</v>
      </c>
      <c r="F136" s="34">
        <v>0.83391199999999999</v>
      </c>
      <c r="G136" s="6">
        <f t="shared" si="35"/>
        <v>0.63688106523656995</v>
      </c>
      <c r="H136" s="6">
        <f t="shared" si="36"/>
        <v>0.72458484828135339</v>
      </c>
      <c r="I136" s="34">
        <v>2.8271299999999999</v>
      </c>
      <c r="J136" s="34">
        <v>262.78040099999998</v>
      </c>
      <c r="K136" s="34">
        <f t="shared" si="29"/>
        <v>2.9791515600626783</v>
      </c>
      <c r="L136" s="63">
        <f t="shared" si="30"/>
        <v>1.7291494913448366</v>
      </c>
      <c r="M136" s="8"/>
      <c r="N136" s="8"/>
      <c r="O136" s="14"/>
      <c r="P136" s="54"/>
      <c r="Q136" s="42"/>
      <c r="R136" s="67" t="s">
        <v>86</v>
      </c>
      <c r="S136" s="56">
        <v>0.28464499999999998</v>
      </c>
      <c r="T136" s="56">
        <v>0.75562799999999997</v>
      </c>
      <c r="U136" s="56">
        <f t="shared" si="31"/>
        <v>1.1060970682780304</v>
      </c>
      <c r="V136" s="56">
        <v>0.28464499999999998</v>
      </c>
      <c r="W136" s="56">
        <v>0.75562799999999997</v>
      </c>
      <c r="X136" s="46">
        <f t="shared" si="37"/>
        <v>1</v>
      </c>
      <c r="Y136" s="46">
        <f t="shared" si="38"/>
        <v>1</v>
      </c>
      <c r="Z136" s="56">
        <v>2.7437459999999998</v>
      </c>
      <c r="AA136" s="56">
        <v>248.89623700000001</v>
      </c>
      <c r="AB136" s="56">
        <f t="shared" si="33"/>
        <v>2.9075007284164585</v>
      </c>
      <c r="AC136" s="97">
        <f t="shared" si="34"/>
        <v>1.801403660138428</v>
      </c>
      <c r="AD136" s="42"/>
      <c r="AE136" s="55"/>
    </row>
    <row r="137" spans="1:31" s="36" customFormat="1" x14ac:dyDescent="0.25">
      <c r="A137" s="23" t="s">
        <v>87</v>
      </c>
      <c r="B137" s="34">
        <v>0.83690900000000001</v>
      </c>
      <c r="C137" s="34">
        <v>4.8233350000000002</v>
      </c>
      <c r="D137" s="34">
        <f t="shared" si="26"/>
        <v>2.4013637285136937</v>
      </c>
      <c r="E137" s="34">
        <v>0.90282399999999996</v>
      </c>
      <c r="F137" s="34">
        <v>5.1724139999999998</v>
      </c>
      <c r="G137" s="6">
        <f t="shared" si="35"/>
        <v>0.92699019964023999</v>
      </c>
      <c r="H137" s="6">
        <f t="shared" si="36"/>
        <v>0.93251139603287758</v>
      </c>
      <c r="I137" s="34">
        <v>2.7369469999999998</v>
      </c>
      <c r="J137" s="34">
        <v>219.10689600000001</v>
      </c>
      <c r="K137" s="34">
        <f t="shared" si="29"/>
        <v>2.5658724568202906</v>
      </c>
      <c r="L137" s="63">
        <f t="shared" si="30"/>
        <v>0.16450872830659691</v>
      </c>
      <c r="M137" s="8"/>
      <c r="N137" s="8"/>
      <c r="O137" s="14"/>
      <c r="P137" s="54"/>
      <c r="Q137" s="42"/>
      <c r="R137" s="67" t="s">
        <v>87</v>
      </c>
      <c r="S137" s="56">
        <v>0.68583000000000005</v>
      </c>
      <c r="T137" s="56">
        <v>5.2769199999999996</v>
      </c>
      <c r="U137" s="56">
        <f t="shared" si="31"/>
        <v>3.205920806419472</v>
      </c>
      <c r="V137" s="56">
        <v>0.70906899999999995</v>
      </c>
      <c r="W137" s="56">
        <v>5.4501099999999996</v>
      </c>
      <c r="X137" s="46">
        <f t="shared" si="37"/>
        <v>0.96722603865068157</v>
      </c>
      <c r="Y137" s="46">
        <f t="shared" si="38"/>
        <v>0.96822265972613397</v>
      </c>
      <c r="Z137" s="56">
        <v>2.6341960000000002</v>
      </c>
      <c r="AA137" s="56">
        <v>178.476598</v>
      </c>
      <c r="AB137" s="56">
        <f t="shared" si="33"/>
        <v>2.1715938305468843</v>
      </c>
      <c r="AC137" s="97">
        <f t="shared" si="34"/>
        <v>-1.0343269758725877</v>
      </c>
      <c r="AD137" s="42"/>
      <c r="AE137" s="55"/>
    </row>
    <row r="138" spans="1:31" s="36" customFormat="1" x14ac:dyDescent="0.25">
      <c r="A138" s="23" t="s">
        <v>88</v>
      </c>
      <c r="B138" s="34">
        <v>0.247391</v>
      </c>
      <c r="C138" s="34">
        <v>1.6338349999999999</v>
      </c>
      <c r="D138" s="34">
        <f t="shared" si="26"/>
        <v>2.7517758662737664</v>
      </c>
      <c r="E138" s="34">
        <v>0.26095000000000002</v>
      </c>
      <c r="F138" s="34">
        <v>1.7222459999999999</v>
      </c>
      <c r="G138" s="6">
        <f t="shared" si="35"/>
        <v>0.94803985437823335</v>
      </c>
      <c r="H138" s="6">
        <f t="shared" si="36"/>
        <v>0.94866528939535932</v>
      </c>
      <c r="I138" s="34">
        <v>2.0144679999999999</v>
      </c>
      <c r="J138" s="34">
        <v>168.37889999999999</v>
      </c>
      <c r="K138" s="34">
        <f t="shared" si="29"/>
        <v>2.6789999222547167</v>
      </c>
      <c r="L138" s="63">
        <f t="shared" si="30"/>
        <v>-7.2775944019049632E-2</v>
      </c>
      <c r="M138" s="8"/>
      <c r="N138" s="8"/>
      <c r="O138" s="14"/>
      <c r="P138" s="54"/>
      <c r="Q138" s="42"/>
      <c r="R138" s="67" t="s">
        <v>88</v>
      </c>
      <c r="S138" s="56">
        <v>0.123115</v>
      </c>
      <c r="T138" s="56">
        <v>0.85757499999999998</v>
      </c>
      <c r="U138" s="56">
        <f t="shared" si="31"/>
        <v>2.9023507831431314</v>
      </c>
      <c r="V138" s="56">
        <v>0.123514</v>
      </c>
      <c r="W138" s="56">
        <v>0.86056699999999997</v>
      </c>
      <c r="X138" s="46">
        <f t="shared" si="37"/>
        <v>0.99676959696876466</v>
      </c>
      <c r="Y138" s="46">
        <f t="shared" si="38"/>
        <v>0.99652322248006253</v>
      </c>
      <c r="Z138" s="56">
        <v>2.047571</v>
      </c>
      <c r="AA138" s="56">
        <v>138.81216499999999</v>
      </c>
      <c r="AB138" s="56">
        <f t="shared" si="33"/>
        <v>2.1728711007159713</v>
      </c>
      <c r="AC138" s="97">
        <f t="shared" si="34"/>
        <v>-0.7294796824271601</v>
      </c>
      <c r="AD138" s="42"/>
      <c r="AE138" s="55"/>
    </row>
    <row r="139" spans="1:31" s="36" customFormat="1" x14ac:dyDescent="0.25">
      <c r="A139" s="23" t="s">
        <v>89</v>
      </c>
      <c r="B139" s="34">
        <v>5.6690610000000001</v>
      </c>
      <c r="C139" s="34">
        <v>37.511397000000002</v>
      </c>
      <c r="D139" s="34">
        <f t="shared" si="26"/>
        <v>2.7570260312951302</v>
      </c>
      <c r="E139" s="34">
        <v>7.0972350000000004</v>
      </c>
      <c r="F139" s="34">
        <v>45.79374</v>
      </c>
      <c r="G139" s="6">
        <f t="shared" si="35"/>
        <v>0.79877036620599429</v>
      </c>
      <c r="H139" s="6">
        <f t="shared" si="36"/>
        <v>0.81913809616772948</v>
      </c>
      <c r="I139" s="34">
        <v>2.7119260000000001</v>
      </c>
      <c r="J139" s="34">
        <v>239.89615699999999</v>
      </c>
      <c r="K139" s="34">
        <f t="shared" si="29"/>
        <v>2.8352467548987841</v>
      </c>
      <c r="L139" s="63">
        <f t="shared" si="30"/>
        <v>7.8220723603653841E-2</v>
      </c>
      <c r="M139" s="8"/>
      <c r="N139" s="8"/>
      <c r="O139" s="14"/>
      <c r="P139" s="54"/>
      <c r="Q139" s="42"/>
      <c r="R139" s="67" t="s">
        <v>89</v>
      </c>
      <c r="S139" s="56">
        <v>8.5728519999999993</v>
      </c>
      <c r="T139" s="56">
        <v>46.564273999999997</v>
      </c>
      <c r="U139" s="56">
        <f t="shared" si="31"/>
        <v>2.2631652609112272</v>
      </c>
      <c r="V139" s="56">
        <v>10.530072000000001</v>
      </c>
      <c r="W139" s="56">
        <v>55.055256999999997</v>
      </c>
      <c r="X139" s="46">
        <f t="shared" si="37"/>
        <v>0.81413042569889349</v>
      </c>
      <c r="Y139" s="46">
        <f t="shared" si="38"/>
        <v>0.84577343812962313</v>
      </c>
      <c r="Z139" s="56">
        <v>2.3662070000000002</v>
      </c>
      <c r="AA139" s="56">
        <v>179.03225399999999</v>
      </c>
      <c r="AB139" s="56">
        <f t="shared" si="33"/>
        <v>2.4250681657313873</v>
      </c>
      <c r="AC139" s="97">
        <f t="shared" si="34"/>
        <v>0.16190290482016012</v>
      </c>
      <c r="AD139" s="42"/>
      <c r="AE139" s="55"/>
    </row>
    <row r="140" spans="1:31" s="36" customFormat="1" x14ac:dyDescent="0.25">
      <c r="A140" s="23" t="s">
        <v>90</v>
      </c>
      <c r="B140" s="34">
        <v>1.4038360000000001</v>
      </c>
      <c r="C140" s="34">
        <v>7.7024119999999998</v>
      </c>
      <c r="D140" s="34">
        <f t="shared" si="26"/>
        <v>2.2861205534929532</v>
      </c>
      <c r="E140" s="34">
        <v>1.678701</v>
      </c>
      <c r="F140" s="34">
        <v>8.9003669999999993</v>
      </c>
      <c r="G140" s="6">
        <f t="shared" si="35"/>
        <v>0.83626327737935469</v>
      </c>
      <c r="H140" s="6">
        <f t="shared" si="36"/>
        <v>0.86540386480692322</v>
      </c>
      <c r="I140" s="34">
        <v>2.3006790000000001</v>
      </c>
      <c r="J140" s="34">
        <v>181.35896399999999</v>
      </c>
      <c r="K140" s="34">
        <f t="shared" si="29"/>
        <v>2.5265529470614139</v>
      </c>
      <c r="L140" s="63">
        <f t="shared" si="30"/>
        <v>0.24043239356846069</v>
      </c>
      <c r="M140" s="8"/>
      <c r="N140" s="8"/>
      <c r="O140" s="14"/>
      <c r="P140" s="54"/>
      <c r="Q140" s="42"/>
      <c r="R140" s="67" t="s">
        <v>90</v>
      </c>
      <c r="S140" s="56">
        <v>1.0025649999999999</v>
      </c>
      <c r="T140" s="56">
        <v>6.3931129999999996</v>
      </c>
      <c r="U140" s="56">
        <f t="shared" si="31"/>
        <v>2.656981924696487</v>
      </c>
      <c r="V140" s="56">
        <v>1.1621490000000001</v>
      </c>
      <c r="W140" s="56">
        <v>7.10541</v>
      </c>
      <c r="X140" s="46">
        <f t="shared" si="37"/>
        <v>0.86268197967730453</v>
      </c>
      <c r="Y140" s="46">
        <f t="shared" si="38"/>
        <v>0.89975286436672897</v>
      </c>
      <c r="Z140" s="56">
        <v>2.279728</v>
      </c>
      <c r="AA140" s="56">
        <v>147.50048799999999</v>
      </c>
      <c r="AB140" s="56">
        <f t="shared" si="33"/>
        <v>2.0737472819519449</v>
      </c>
      <c r="AC140" s="97">
        <f t="shared" si="34"/>
        <v>-0.58323464274454206</v>
      </c>
      <c r="AD140" s="42"/>
      <c r="AE140" s="55"/>
    </row>
    <row r="141" spans="1:31" s="36" customFormat="1" x14ac:dyDescent="0.25">
      <c r="A141" s="23" t="s">
        <v>91</v>
      </c>
      <c r="B141" s="34">
        <v>1.4466699999999999</v>
      </c>
      <c r="C141" s="34">
        <v>6.3682160000000003</v>
      </c>
      <c r="D141" s="34">
        <f t="shared" si="26"/>
        <v>1.8341593682963866</v>
      </c>
      <c r="E141" s="34">
        <v>1.6271960000000001</v>
      </c>
      <c r="F141" s="34">
        <v>6.784211</v>
      </c>
      <c r="G141" s="6">
        <f t="shared" si="35"/>
        <v>0.88905700358162132</v>
      </c>
      <c r="H141" s="6">
        <f t="shared" si="36"/>
        <v>0.93868188946363851</v>
      </c>
      <c r="I141" s="34">
        <v>2.8244880000000001</v>
      </c>
      <c r="J141" s="34">
        <v>221.46711999999999</v>
      </c>
      <c r="K141" s="34">
        <f t="shared" si="29"/>
        <v>2.5131298586523036</v>
      </c>
      <c r="L141" s="63">
        <f t="shared" si="30"/>
        <v>0.67897049035591706</v>
      </c>
      <c r="M141" s="8"/>
      <c r="N141" s="8"/>
      <c r="O141" s="14"/>
      <c r="P141" s="54"/>
      <c r="Q141" s="42"/>
      <c r="R141" s="67" t="s">
        <v>91</v>
      </c>
      <c r="S141" s="56">
        <v>1.169996</v>
      </c>
      <c r="T141" s="56">
        <v>5.838457</v>
      </c>
      <c r="U141" s="56">
        <f t="shared" si="31"/>
        <v>2.0792296868251401</v>
      </c>
      <c r="V141" s="56">
        <v>1.175975</v>
      </c>
      <c r="W141" s="56">
        <v>5.8683509999999997</v>
      </c>
      <c r="X141" s="46">
        <f t="shared" si="37"/>
        <v>0.99491570824209707</v>
      </c>
      <c r="Y141" s="46">
        <f t="shared" si="38"/>
        <v>0.99490589434749221</v>
      </c>
      <c r="Z141" s="56">
        <v>2.800773</v>
      </c>
      <c r="AA141" s="56">
        <v>178.980782</v>
      </c>
      <c r="AB141" s="56">
        <f t="shared" si="33"/>
        <v>2.0482072362312209</v>
      </c>
      <c r="AC141" s="97">
        <f t="shared" si="34"/>
        <v>-3.1022450593919171E-2</v>
      </c>
      <c r="AD141" s="42"/>
      <c r="AE141" s="55"/>
    </row>
    <row r="142" spans="1:31" s="36" customFormat="1" x14ac:dyDescent="0.25">
      <c r="A142" s="23" t="s">
        <v>92</v>
      </c>
      <c r="B142" s="34">
        <v>4.0261019999999998</v>
      </c>
      <c r="C142" s="34">
        <v>20.790609</v>
      </c>
      <c r="D142" s="34">
        <f t="shared" si="26"/>
        <v>2.151647859393528</v>
      </c>
      <c r="E142" s="34">
        <v>4.6190559999999996</v>
      </c>
      <c r="F142" s="34">
        <v>23.653839000000001</v>
      </c>
      <c r="G142" s="6">
        <f t="shared" si="35"/>
        <v>0.87162874838495141</v>
      </c>
      <c r="H142" s="6">
        <f t="shared" si="36"/>
        <v>0.87895284143939589</v>
      </c>
      <c r="I142" s="34">
        <v>2.6401530000000002</v>
      </c>
      <c r="J142" s="34">
        <v>208.32776899999999</v>
      </c>
      <c r="K142" s="34">
        <f t="shared" si="29"/>
        <v>2.5290852777597856</v>
      </c>
      <c r="L142" s="63">
        <f t="shared" si="30"/>
        <v>0.37743741836625766</v>
      </c>
      <c r="M142" s="8"/>
      <c r="N142" s="8"/>
      <c r="O142" s="14"/>
      <c r="P142" s="54"/>
      <c r="Q142" s="42"/>
      <c r="R142" s="67" t="s">
        <v>92</v>
      </c>
      <c r="S142" s="56">
        <v>2.8462190000000001</v>
      </c>
      <c r="T142" s="56">
        <v>15.128429000000001</v>
      </c>
      <c r="U142" s="56">
        <f t="shared" si="31"/>
        <v>2.2146967901392456</v>
      </c>
      <c r="V142" s="56">
        <v>3.2414809999999998</v>
      </c>
      <c r="W142" s="56">
        <v>16.999103999999999</v>
      </c>
      <c r="X142" s="46">
        <f t="shared" si="37"/>
        <v>0.87806129358771501</v>
      </c>
      <c r="Y142" s="46">
        <f t="shared" si="38"/>
        <v>0.88995449407215821</v>
      </c>
      <c r="Z142" s="56">
        <v>2.7891879999999998</v>
      </c>
      <c r="AA142" s="56">
        <v>180.64025799999999</v>
      </c>
      <c r="AB142" s="56">
        <f t="shared" si="33"/>
        <v>2.0757840127572464</v>
      </c>
      <c r="AC142" s="97">
        <f t="shared" si="34"/>
        <v>-0.13891277738199914</v>
      </c>
      <c r="AD142" s="42"/>
      <c r="AE142" s="55"/>
    </row>
    <row r="143" spans="1:31" s="36" customFormat="1" x14ac:dyDescent="0.25">
      <c r="A143" s="13"/>
      <c r="B143" s="8"/>
      <c r="C143" s="8"/>
      <c r="D143" s="8"/>
      <c r="E143" s="8"/>
      <c r="F143" s="8"/>
      <c r="G143" s="8"/>
      <c r="H143" s="8"/>
      <c r="I143" s="8"/>
      <c r="J143" s="8"/>
      <c r="K143" s="8"/>
      <c r="L143" s="8"/>
      <c r="M143" s="8"/>
      <c r="N143" s="8"/>
      <c r="O143" s="14"/>
      <c r="P143" s="54"/>
      <c r="Q143" s="42"/>
      <c r="R143" s="42"/>
      <c r="S143" s="42"/>
      <c r="T143" s="42"/>
      <c r="U143" s="42"/>
      <c r="V143" s="42"/>
      <c r="W143" s="42"/>
      <c r="X143" s="42"/>
      <c r="Y143" s="42"/>
      <c r="Z143" s="42"/>
      <c r="AA143" s="42"/>
      <c r="AB143" s="42"/>
      <c r="AC143" s="42"/>
      <c r="AD143" s="42"/>
      <c r="AE143" s="55"/>
    </row>
    <row r="144" spans="1:31" s="36" customFormat="1" x14ac:dyDescent="0.25">
      <c r="A144" s="13"/>
      <c r="B144" s="8"/>
      <c r="C144" s="8"/>
      <c r="D144" s="8"/>
      <c r="E144" s="8"/>
      <c r="F144" s="8"/>
      <c r="G144" s="8"/>
      <c r="H144" s="8"/>
      <c r="I144" s="8"/>
      <c r="J144" s="8"/>
      <c r="K144" s="8"/>
      <c r="L144" s="8"/>
      <c r="M144" s="8"/>
      <c r="N144" s="8"/>
      <c r="O144" s="14"/>
      <c r="P144" s="54"/>
      <c r="Q144" s="42"/>
      <c r="R144" s="42"/>
      <c r="S144" s="42"/>
      <c r="T144" s="42"/>
      <c r="U144" s="42"/>
      <c r="V144" s="42"/>
      <c r="W144" s="42"/>
      <c r="X144" s="42"/>
      <c r="Y144" s="42"/>
      <c r="Z144" s="42"/>
      <c r="AA144" s="42"/>
      <c r="AB144" s="42"/>
      <c r="AC144" s="42"/>
      <c r="AD144" s="42"/>
      <c r="AE144" s="55"/>
    </row>
    <row r="145" spans="1:31" s="36" customFormat="1" x14ac:dyDescent="0.25">
      <c r="A145" s="13"/>
      <c r="B145" s="8"/>
      <c r="C145" s="8"/>
      <c r="D145" s="8"/>
      <c r="E145" s="8"/>
      <c r="F145" s="8"/>
      <c r="G145" s="8"/>
      <c r="H145" s="8"/>
      <c r="I145" s="8"/>
      <c r="J145" s="8"/>
      <c r="K145" s="8"/>
      <c r="L145" s="8"/>
      <c r="M145" s="8"/>
      <c r="N145" s="8"/>
      <c r="O145" s="14"/>
      <c r="P145" s="54"/>
      <c r="Q145" s="42"/>
      <c r="R145" s="42"/>
      <c r="S145" s="42"/>
      <c r="T145" s="42"/>
      <c r="U145" s="42"/>
      <c r="V145" s="42"/>
      <c r="W145" s="42"/>
      <c r="X145" s="42"/>
      <c r="Y145" s="42"/>
      <c r="Z145" s="42"/>
      <c r="AA145" s="42"/>
      <c r="AB145" s="42"/>
      <c r="AC145" s="42"/>
      <c r="AD145" s="42"/>
      <c r="AE145" s="55"/>
    </row>
    <row r="146" spans="1:31" s="36" customFormat="1" x14ac:dyDescent="0.25">
      <c r="A146" s="13"/>
      <c r="B146" s="8"/>
      <c r="C146" s="8"/>
      <c r="D146" s="8"/>
      <c r="E146" s="8"/>
      <c r="F146" s="8"/>
      <c r="G146" s="8"/>
      <c r="H146" s="8"/>
      <c r="I146" s="8"/>
      <c r="J146" s="8"/>
      <c r="K146" s="8"/>
      <c r="L146" s="8"/>
      <c r="M146" s="8"/>
      <c r="N146" s="8"/>
      <c r="O146" s="14"/>
      <c r="P146" s="54"/>
      <c r="Q146" s="42"/>
      <c r="R146" s="42"/>
      <c r="S146" s="42"/>
      <c r="T146" s="42"/>
      <c r="U146" s="42"/>
      <c r="V146" s="42"/>
      <c r="W146" s="42"/>
      <c r="X146" s="42"/>
      <c r="Y146" s="42"/>
      <c r="Z146" s="42"/>
      <c r="AA146" s="42"/>
      <c r="AB146" s="42"/>
      <c r="AC146" s="42"/>
      <c r="AD146" s="42"/>
      <c r="AE146" s="55"/>
    </row>
    <row r="147" spans="1:31" s="36" customFormat="1" x14ac:dyDescent="0.25">
      <c r="A147" s="13"/>
      <c r="B147" s="8"/>
      <c r="C147" s="8"/>
      <c r="D147" s="8"/>
      <c r="E147" s="8"/>
      <c r="F147" s="8"/>
      <c r="G147" s="8"/>
      <c r="H147" s="8"/>
      <c r="I147" s="8"/>
      <c r="J147" s="8"/>
      <c r="K147" s="8"/>
      <c r="L147" s="8"/>
      <c r="M147" s="8"/>
      <c r="N147" s="8"/>
      <c r="O147" s="14"/>
      <c r="P147" s="54"/>
      <c r="Q147" s="42"/>
      <c r="R147" s="42"/>
      <c r="S147" s="42"/>
      <c r="T147" s="42"/>
      <c r="U147" s="42"/>
      <c r="V147" s="42"/>
      <c r="W147" s="42"/>
      <c r="X147" s="42"/>
      <c r="Y147" s="42"/>
      <c r="Z147" s="42"/>
      <c r="AA147" s="42"/>
      <c r="AB147" s="42"/>
      <c r="AC147" s="42"/>
      <c r="AD147" s="42"/>
      <c r="AE147" s="55"/>
    </row>
    <row r="148" spans="1:31" s="36" customFormat="1" x14ac:dyDescent="0.25">
      <c r="A148" s="13"/>
      <c r="B148" s="8"/>
      <c r="C148" s="8"/>
      <c r="D148" s="8"/>
      <c r="E148" s="8"/>
      <c r="F148" s="8"/>
      <c r="G148" s="8"/>
      <c r="H148" s="8"/>
      <c r="I148" s="8"/>
      <c r="J148" s="8"/>
      <c r="K148" s="8"/>
      <c r="L148" s="8"/>
      <c r="M148" s="8"/>
      <c r="N148" s="8"/>
      <c r="O148" s="14"/>
      <c r="P148" s="54"/>
      <c r="Q148" s="42"/>
      <c r="R148" s="42"/>
      <c r="S148" s="42"/>
      <c r="T148" s="42"/>
      <c r="U148" s="42"/>
      <c r="V148" s="42"/>
      <c r="W148" s="42"/>
      <c r="X148" s="42"/>
      <c r="Y148" s="42"/>
      <c r="Z148" s="42"/>
      <c r="AA148" s="42"/>
      <c r="AB148" s="42"/>
      <c r="AC148" s="42"/>
      <c r="AD148" s="42"/>
      <c r="AE148" s="55"/>
    </row>
    <row r="149" spans="1:31" s="36" customFormat="1" x14ac:dyDescent="0.25">
      <c r="A149" s="13"/>
      <c r="B149" s="8"/>
      <c r="C149" s="8"/>
      <c r="D149" s="8"/>
      <c r="E149" s="8"/>
      <c r="F149" s="8"/>
      <c r="G149" s="8"/>
      <c r="H149" s="8"/>
      <c r="I149" s="8"/>
      <c r="J149" s="8"/>
      <c r="K149" s="8"/>
      <c r="L149" s="8"/>
      <c r="M149" s="8"/>
      <c r="N149" s="8"/>
      <c r="O149" s="14"/>
      <c r="P149" s="54"/>
      <c r="Q149" s="42"/>
      <c r="R149" s="42"/>
      <c r="S149" s="42"/>
      <c r="T149" s="42"/>
      <c r="U149" s="42"/>
      <c r="V149" s="42"/>
      <c r="W149" s="42"/>
      <c r="X149" s="42"/>
      <c r="Y149" s="42"/>
      <c r="Z149" s="42"/>
      <c r="AA149" s="42"/>
      <c r="AB149" s="42"/>
      <c r="AC149" s="42"/>
      <c r="AD149" s="42"/>
      <c r="AE149" s="55"/>
    </row>
    <row r="150" spans="1:31" s="36" customFormat="1" x14ac:dyDescent="0.25">
      <c r="A150" s="13"/>
      <c r="B150" s="8"/>
      <c r="C150" s="8"/>
      <c r="D150" s="8"/>
      <c r="E150" s="8"/>
      <c r="F150" s="8"/>
      <c r="G150" s="8"/>
      <c r="H150" s="8"/>
      <c r="I150" s="8"/>
      <c r="J150" s="8"/>
      <c r="K150" s="8"/>
      <c r="L150" s="8"/>
      <c r="M150" s="8"/>
      <c r="N150" s="8"/>
      <c r="O150" s="14"/>
      <c r="P150" s="54"/>
      <c r="Q150" s="42"/>
      <c r="R150" s="42"/>
      <c r="S150" s="42"/>
      <c r="T150" s="42"/>
      <c r="U150" s="42"/>
      <c r="V150" s="42"/>
      <c r="W150" s="42"/>
      <c r="X150" s="42"/>
      <c r="Y150" s="42"/>
      <c r="Z150" s="42"/>
      <c r="AA150" s="42"/>
      <c r="AB150" s="42"/>
      <c r="AC150" s="42"/>
      <c r="AD150" s="42"/>
      <c r="AE150" s="55"/>
    </row>
    <row r="151" spans="1:31" s="36" customFormat="1" x14ac:dyDescent="0.25">
      <c r="A151" s="13"/>
      <c r="B151" s="8"/>
      <c r="C151" s="8"/>
      <c r="D151" s="8"/>
      <c r="E151" s="8"/>
      <c r="F151" s="8"/>
      <c r="G151" s="8"/>
      <c r="H151" s="8"/>
      <c r="I151" s="8"/>
      <c r="J151" s="8"/>
      <c r="K151" s="8"/>
      <c r="L151" s="8"/>
      <c r="M151" s="8"/>
      <c r="N151" s="8"/>
      <c r="O151" s="14"/>
      <c r="P151" s="54"/>
      <c r="Q151" s="42"/>
      <c r="R151" s="42"/>
      <c r="S151" s="42"/>
      <c r="T151" s="42"/>
      <c r="U151" s="42"/>
      <c r="V151" s="42"/>
      <c r="W151" s="42"/>
      <c r="X151" s="42"/>
      <c r="Y151" s="42"/>
      <c r="Z151" s="42"/>
      <c r="AA151" s="42"/>
      <c r="AB151" s="42"/>
      <c r="AC151" s="42"/>
      <c r="AD151" s="42"/>
      <c r="AE151" s="55"/>
    </row>
    <row r="152" spans="1:31" s="36" customFormat="1" x14ac:dyDescent="0.25">
      <c r="A152" s="13"/>
      <c r="B152" s="8"/>
      <c r="C152" s="8"/>
      <c r="D152" s="8"/>
      <c r="E152" s="8"/>
      <c r="F152" s="8"/>
      <c r="G152" s="8"/>
      <c r="H152" s="8"/>
      <c r="I152" s="8"/>
      <c r="J152" s="8"/>
      <c r="K152" s="8"/>
      <c r="L152" s="8"/>
      <c r="M152" s="8"/>
      <c r="N152" s="8"/>
      <c r="O152" s="14"/>
      <c r="P152" s="54"/>
      <c r="Q152" s="42"/>
      <c r="R152" s="42"/>
      <c r="S152" s="42"/>
      <c r="T152" s="42"/>
      <c r="U152" s="42"/>
      <c r="V152" s="42"/>
      <c r="W152" s="42"/>
      <c r="X152" s="42"/>
      <c r="Y152" s="42"/>
      <c r="Z152" s="42"/>
      <c r="AA152" s="42"/>
      <c r="AB152" s="42"/>
      <c r="AC152" s="42"/>
      <c r="AD152" s="42"/>
      <c r="AE152" s="55"/>
    </row>
    <row r="158" spans="1:31" x14ac:dyDescent="0.25">
      <c r="B158" s="148"/>
      <c r="C158" s="148"/>
      <c r="D158" s="148"/>
    </row>
    <row r="159" spans="1:31" x14ac:dyDescent="0.25">
      <c r="A159" s="15"/>
      <c r="B159" s="65"/>
      <c r="C159" s="65"/>
      <c r="D159" s="65"/>
    </row>
    <row r="160" spans="1:31" x14ac:dyDescent="0.25">
      <c r="A160" s="66"/>
      <c r="D160" s="60"/>
      <c r="F160" s="62"/>
    </row>
    <row r="161" spans="1:6" x14ac:dyDescent="0.25">
      <c r="A161" s="66"/>
      <c r="D161" s="60"/>
      <c r="F161" s="62"/>
    </row>
    <row r="162" spans="1:6" x14ac:dyDescent="0.25">
      <c r="A162" s="66"/>
      <c r="D162" s="60"/>
      <c r="F162" s="62"/>
    </row>
    <row r="163" spans="1:6" x14ac:dyDescent="0.25">
      <c r="A163" s="66"/>
      <c r="D163" s="60"/>
      <c r="F163" s="62"/>
    </row>
    <row r="164" spans="1:6" x14ac:dyDescent="0.25">
      <c r="A164" s="66"/>
      <c r="D164" s="60"/>
      <c r="F164" s="62"/>
    </row>
    <row r="165" spans="1:6" x14ac:dyDescent="0.25">
      <c r="A165" s="66"/>
      <c r="D165" s="60"/>
      <c r="F165" s="62"/>
    </row>
    <row r="166" spans="1:6" x14ac:dyDescent="0.25">
      <c r="A166" s="66"/>
      <c r="D166" s="60"/>
      <c r="F166" s="62"/>
    </row>
    <row r="167" spans="1:6" x14ac:dyDescent="0.25">
      <c r="A167" s="66"/>
      <c r="D167" s="60"/>
      <c r="F167" s="62"/>
    </row>
    <row r="168" spans="1:6" x14ac:dyDescent="0.25">
      <c r="A168" s="66"/>
      <c r="D168" s="60"/>
      <c r="F168" s="62"/>
    </row>
    <row r="169" spans="1:6" x14ac:dyDescent="0.25">
      <c r="A169" s="66"/>
      <c r="D169" s="60"/>
      <c r="F169" s="62"/>
    </row>
    <row r="170" spans="1:6" x14ac:dyDescent="0.25">
      <c r="A170" s="66"/>
      <c r="D170" s="60"/>
      <c r="F170" s="62"/>
    </row>
    <row r="171" spans="1:6" x14ac:dyDescent="0.25">
      <c r="A171" s="66"/>
      <c r="D171" s="60"/>
      <c r="F171" s="62"/>
    </row>
    <row r="172" spans="1:6" x14ac:dyDescent="0.25">
      <c r="A172" s="66"/>
      <c r="D172" s="60"/>
      <c r="F172" s="62"/>
    </row>
    <row r="173" spans="1:6" x14ac:dyDescent="0.25">
      <c r="A173" s="66"/>
      <c r="D173" s="60"/>
      <c r="F173" s="62"/>
    </row>
    <row r="174" spans="1:6" x14ac:dyDescent="0.25">
      <c r="A174" s="66"/>
      <c r="D174" s="60"/>
      <c r="F174" s="62"/>
    </row>
    <row r="175" spans="1:6" x14ac:dyDescent="0.25">
      <c r="A175" s="66"/>
      <c r="D175" s="60"/>
      <c r="F175" s="62"/>
    </row>
    <row r="176" spans="1:6" x14ac:dyDescent="0.25">
      <c r="A176" s="66"/>
      <c r="D176" s="60"/>
      <c r="F176" s="62"/>
    </row>
    <row r="177" spans="1:6" x14ac:dyDescent="0.25">
      <c r="A177" s="66"/>
      <c r="D177" s="60"/>
      <c r="F177" s="62"/>
    </row>
    <row r="178" spans="1:6" x14ac:dyDescent="0.25">
      <c r="A178" s="66"/>
      <c r="D178" s="60"/>
      <c r="F178" s="62"/>
    </row>
    <row r="179" spans="1:6" x14ac:dyDescent="0.25">
      <c r="A179" s="66"/>
      <c r="D179" s="60"/>
      <c r="F179" s="62"/>
    </row>
    <row r="180" spans="1:6" x14ac:dyDescent="0.25">
      <c r="A180" s="66"/>
      <c r="D180" s="60"/>
      <c r="F180" s="62"/>
    </row>
    <row r="181" spans="1:6" x14ac:dyDescent="0.25">
      <c r="A181" s="66"/>
      <c r="D181" s="60"/>
      <c r="F181" s="62"/>
    </row>
    <row r="182" spans="1:6" x14ac:dyDescent="0.25">
      <c r="A182" s="66"/>
      <c r="D182" s="60"/>
      <c r="F182" s="62"/>
    </row>
    <row r="183" spans="1:6" x14ac:dyDescent="0.25">
      <c r="A183" s="66"/>
      <c r="D183" s="60"/>
      <c r="F183" s="62"/>
    </row>
    <row r="184" spans="1:6" x14ac:dyDescent="0.25">
      <c r="A184" s="66"/>
      <c r="D184" s="60"/>
      <c r="F184" s="62"/>
    </row>
    <row r="185" spans="1:6" x14ac:dyDescent="0.25">
      <c r="A185" s="66"/>
      <c r="D185" s="60"/>
      <c r="F185" s="62"/>
    </row>
    <row r="186" spans="1:6" x14ac:dyDescent="0.25">
      <c r="A186" s="66"/>
      <c r="D186" s="60"/>
      <c r="F186" s="62"/>
    </row>
    <row r="187" spans="1:6" x14ac:dyDescent="0.25">
      <c r="A187" s="66"/>
      <c r="D187" s="60"/>
      <c r="F187" s="62"/>
    </row>
    <row r="188" spans="1:6" x14ac:dyDescent="0.25">
      <c r="A188" s="66"/>
      <c r="D188" s="60"/>
      <c r="F188" s="62"/>
    </row>
    <row r="189" spans="1:6" x14ac:dyDescent="0.25">
      <c r="A189" s="66"/>
      <c r="D189" s="60"/>
      <c r="F189" s="62"/>
    </row>
    <row r="190" spans="1:6" x14ac:dyDescent="0.25">
      <c r="A190" s="66"/>
      <c r="D190" s="60"/>
      <c r="F190" s="62"/>
    </row>
    <row r="191" spans="1:6" x14ac:dyDescent="0.25">
      <c r="A191" s="66"/>
      <c r="D191" s="60"/>
      <c r="F191" s="62"/>
    </row>
    <row r="192" spans="1:6" x14ac:dyDescent="0.25">
      <c r="A192" s="66"/>
      <c r="D192" s="60"/>
      <c r="F192" s="62"/>
    </row>
    <row r="193" spans="1:6" x14ac:dyDescent="0.25">
      <c r="A193" s="66"/>
      <c r="D193" s="60"/>
      <c r="F193" s="62"/>
    </row>
    <row r="194" spans="1:6" x14ac:dyDescent="0.25">
      <c r="A194" s="66"/>
      <c r="D194" s="60"/>
      <c r="F194" s="62"/>
    </row>
    <row r="195" spans="1:6" x14ac:dyDescent="0.25">
      <c r="A195" s="66"/>
      <c r="D195" s="60"/>
      <c r="F195" s="62"/>
    </row>
  </sheetData>
  <mergeCells count="14">
    <mergeCell ref="R104:AB104"/>
    <mergeCell ref="S105:Y105"/>
    <mergeCell ref="B158:D158"/>
    <mergeCell ref="I63:K63"/>
    <mergeCell ref="B63:H63"/>
    <mergeCell ref="I105:K105"/>
    <mergeCell ref="B105:H105"/>
    <mergeCell ref="A104:K104"/>
    <mergeCell ref="S63:Y63"/>
    <mergeCell ref="C19:D19"/>
    <mergeCell ref="A1:O1"/>
    <mergeCell ref="P1:AE1"/>
    <mergeCell ref="A62:K62"/>
    <mergeCell ref="R62:AB6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8"/>
  <sheetViews>
    <sheetView zoomScale="99" zoomScaleNormal="65" workbookViewId="0">
      <selection activeCell="I38" sqref="I38"/>
    </sheetView>
    <sheetView workbookViewId="1">
      <selection sqref="A1:N1"/>
    </sheetView>
    <sheetView workbookViewId="2">
      <selection sqref="A1:N1"/>
    </sheetView>
  </sheetViews>
  <sheetFormatPr defaultRowHeight="15" x14ac:dyDescent="0.25"/>
  <cols>
    <col min="1" max="1" width="12.28515625" style="13" customWidth="1"/>
    <col min="2" max="2" width="12.5703125" style="8" customWidth="1"/>
    <col min="3" max="3" width="14.28515625" style="8" customWidth="1"/>
    <col min="4" max="13" width="8.7109375" style="8"/>
    <col min="14" max="14" width="8.7109375" style="14"/>
    <col min="15" max="15" width="8.7109375" style="36"/>
    <col min="16" max="16" width="15" style="36" customWidth="1"/>
    <col min="17" max="30" width="8.7109375" style="36"/>
  </cols>
  <sheetData>
    <row r="1" spans="1:30" ht="29.25" thickBot="1" x14ac:dyDescent="0.5">
      <c r="A1" s="138" t="s">
        <v>49</v>
      </c>
      <c r="B1" s="139"/>
      <c r="C1" s="139"/>
      <c r="D1" s="139"/>
      <c r="E1" s="139"/>
      <c r="F1" s="139"/>
      <c r="G1" s="139"/>
      <c r="H1" s="139"/>
      <c r="I1" s="139"/>
      <c r="J1" s="139"/>
      <c r="K1" s="139"/>
      <c r="L1" s="139"/>
      <c r="M1" s="139"/>
      <c r="N1" s="142"/>
      <c r="O1" s="136" t="s">
        <v>50</v>
      </c>
      <c r="P1" s="137"/>
      <c r="Q1" s="137"/>
      <c r="R1" s="137"/>
      <c r="S1" s="137"/>
      <c r="T1" s="137"/>
      <c r="U1" s="137"/>
      <c r="V1" s="137"/>
      <c r="W1" s="137"/>
      <c r="X1" s="137"/>
      <c r="Y1" s="137"/>
      <c r="Z1" s="137"/>
      <c r="AA1" s="137"/>
      <c r="AB1" s="137"/>
      <c r="AC1" s="137"/>
      <c r="AD1" s="140"/>
    </row>
    <row r="3" spans="1:30" x14ac:dyDescent="0.25">
      <c r="A3" s="15" t="s">
        <v>13</v>
      </c>
      <c r="P3" s="41" t="s">
        <v>13</v>
      </c>
      <c r="Q3" s="42"/>
      <c r="R3" s="42"/>
    </row>
    <row r="4" spans="1:30" x14ac:dyDescent="0.25">
      <c r="A4" s="16" t="s">
        <v>31</v>
      </c>
      <c r="B4" s="2" t="s">
        <v>130</v>
      </c>
      <c r="P4" s="43" t="s">
        <v>31</v>
      </c>
      <c r="Q4" s="43" t="s">
        <v>130</v>
      </c>
    </row>
    <row r="5" spans="1:30" x14ac:dyDescent="0.25">
      <c r="A5" s="16" t="s">
        <v>129</v>
      </c>
      <c r="B5" s="88">
        <f>6.3*12/14.2</f>
        <v>5.323943661971831</v>
      </c>
      <c r="P5" s="43" t="s">
        <v>129</v>
      </c>
      <c r="Q5" s="91">
        <f>6.67*12/14.2</f>
        <v>5.6366197183098592</v>
      </c>
    </row>
    <row r="6" spans="1:30" x14ac:dyDescent="0.25">
      <c r="A6" s="15"/>
      <c r="P6" s="47"/>
    </row>
    <row r="7" spans="1:30" x14ac:dyDescent="0.25">
      <c r="A7" s="15"/>
      <c r="P7" s="47"/>
    </row>
    <row r="8" spans="1:30" x14ac:dyDescent="0.25">
      <c r="A8" s="16" t="s">
        <v>31</v>
      </c>
      <c r="B8" s="3" t="s">
        <v>14</v>
      </c>
      <c r="C8" s="89" t="s">
        <v>15</v>
      </c>
      <c r="P8" s="43" t="s">
        <v>31</v>
      </c>
      <c r="Q8" s="44" t="s">
        <v>14</v>
      </c>
      <c r="R8" s="48" t="s">
        <v>15</v>
      </c>
    </row>
    <row r="9" spans="1:30" x14ac:dyDescent="0.25">
      <c r="A9" s="95" t="s">
        <v>129</v>
      </c>
      <c r="B9" s="90">
        <f>5.03*12/14.2</f>
        <v>4.2507042253521128</v>
      </c>
      <c r="C9" s="87">
        <f>9.03*12/14.2</f>
        <v>7.6309859154929569</v>
      </c>
      <c r="P9" s="92" t="s">
        <v>129</v>
      </c>
      <c r="Q9" s="93">
        <f>5.6*12/14.2</f>
        <v>4.7323943661971821</v>
      </c>
      <c r="R9" s="94">
        <f>8.79*12/14.2</f>
        <v>7.4281690140845065</v>
      </c>
    </row>
    <row r="10" spans="1:30" x14ac:dyDescent="0.25">
      <c r="A10" s="15"/>
      <c r="P10" s="47"/>
    </row>
    <row r="11" spans="1:30" x14ac:dyDescent="0.25">
      <c r="A11" s="15"/>
      <c r="P11" s="47"/>
    </row>
    <row r="12" spans="1:30" x14ac:dyDescent="0.25">
      <c r="A12" s="15"/>
      <c r="P12" s="47"/>
    </row>
    <row r="13" spans="1:30" x14ac:dyDescent="0.25">
      <c r="A13" s="16" t="s">
        <v>129</v>
      </c>
      <c r="B13" s="2">
        <v>1</v>
      </c>
      <c r="C13" s="2">
        <v>2</v>
      </c>
      <c r="D13" s="2">
        <v>3</v>
      </c>
      <c r="E13" s="2">
        <v>4</v>
      </c>
      <c r="F13" s="2">
        <v>5</v>
      </c>
      <c r="G13" s="2">
        <v>6</v>
      </c>
      <c r="H13" s="2">
        <v>7</v>
      </c>
      <c r="I13" s="2">
        <v>8</v>
      </c>
      <c r="J13" s="2">
        <v>9</v>
      </c>
      <c r="K13" s="2">
        <v>10</v>
      </c>
      <c r="P13" s="43" t="s">
        <v>129</v>
      </c>
      <c r="Q13" s="43">
        <v>1</v>
      </c>
      <c r="R13" s="43">
        <v>2</v>
      </c>
      <c r="S13" s="43">
        <v>3</v>
      </c>
      <c r="T13" s="43">
        <v>4</v>
      </c>
      <c r="U13" s="43">
        <v>5</v>
      </c>
      <c r="V13" s="43">
        <v>6</v>
      </c>
      <c r="W13" s="43">
        <v>7</v>
      </c>
      <c r="X13" s="43">
        <v>8</v>
      </c>
      <c r="Y13" s="43">
        <v>9</v>
      </c>
      <c r="Z13" s="43">
        <v>10</v>
      </c>
    </row>
    <row r="14" spans="1:30" x14ac:dyDescent="0.25">
      <c r="A14" s="16" t="s">
        <v>24</v>
      </c>
      <c r="B14" s="34">
        <v>1.4704225352112676</v>
      </c>
      <c r="C14" s="34">
        <v>2.4</v>
      </c>
      <c r="D14" s="34">
        <v>2.9999999999999996</v>
      </c>
      <c r="E14" s="34">
        <v>3.3464788732394366</v>
      </c>
      <c r="F14" s="34">
        <v>3.9126760563380287</v>
      </c>
      <c r="G14" s="34">
        <v>4.2929577464788737</v>
      </c>
      <c r="H14" s="34">
        <v>4.7492957746478872</v>
      </c>
      <c r="I14" s="34">
        <v>5.1464788732394364</v>
      </c>
      <c r="J14" s="34">
        <v>5.6704225352112676</v>
      </c>
      <c r="K14" s="34">
        <v>6.0591549295774643</v>
      </c>
      <c r="P14" s="43" t="s">
        <v>24</v>
      </c>
      <c r="Q14" s="56">
        <v>1.8760563380281692</v>
      </c>
      <c r="R14" s="56">
        <v>3.042253521126761</v>
      </c>
      <c r="S14" s="56">
        <v>3.6676056338028169</v>
      </c>
      <c r="T14" s="56">
        <v>4.1154929577464792</v>
      </c>
      <c r="U14" s="56">
        <v>4.394366197183099</v>
      </c>
      <c r="V14" s="56">
        <v>4.8338028169014091</v>
      </c>
      <c r="W14" s="56">
        <v>5.2309859154929583</v>
      </c>
      <c r="X14" s="56">
        <v>5.5943661971830991</v>
      </c>
      <c r="Y14" s="56">
        <v>6.0422535211267618</v>
      </c>
      <c r="Z14" s="56">
        <v>6.3464788732394375</v>
      </c>
    </row>
    <row r="15" spans="1:30" x14ac:dyDescent="0.25">
      <c r="A15" s="16" t="s">
        <v>25</v>
      </c>
      <c r="B15" s="34">
        <v>6.7014084507042257</v>
      </c>
      <c r="C15" s="34">
        <v>7.8507042253521124</v>
      </c>
      <c r="D15" s="34">
        <v>8.2563380281690133</v>
      </c>
      <c r="E15" s="34">
        <v>8.4845070422535205</v>
      </c>
      <c r="F15" s="34">
        <v>8.4591549295774655</v>
      </c>
      <c r="G15" s="34">
        <v>8.3915492957746487</v>
      </c>
      <c r="H15" s="34">
        <v>8.214084507042255</v>
      </c>
      <c r="I15" s="34">
        <v>7.9352112676056343</v>
      </c>
      <c r="J15" s="34">
        <v>7.4450704225352116</v>
      </c>
      <c r="K15" s="34">
        <v>5.8056338028169012</v>
      </c>
      <c r="P15" s="43" t="s">
        <v>25</v>
      </c>
      <c r="Q15" s="56">
        <v>7.0056338028169014</v>
      </c>
      <c r="R15" s="56">
        <v>8.2225352112676067</v>
      </c>
      <c r="S15" s="56">
        <v>8.3661971830985919</v>
      </c>
      <c r="T15" s="56">
        <v>8.1718309859154932</v>
      </c>
      <c r="U15" s="56">
        <v>8.2056338028169034</v>
      </c>
      <c r="V15" s="56">
        <v>8.1295774647887331</v>
      </c>
      <c r="W15" s="56">
        <v>8.0281690140845079</v>
      </c>
      <c r="X15" s="56">
        <v>7.6985915492957746</v>
      </c>
      <c r="Y15" s="56">
        <v>7.2422535211267611</v>
      </c>
      <c r="Z15" s="56">
        <v>5.1464788732394364</v>
      </c>
    </row>
    <row r="16" spans="1:30" x14ac:dyDescent="0.25">
      <c r="P16" s="47"/>
    </row>
    <row r="17" spans="2:26" x14ac:dyDescent="0.25">
      <c r="B17" s="63"/>
      <c r="C17" s="63"/>
      <c r="D17" s="63"/>
      <c r="E17" s="63"/>
      <c r="F17" s="63"/>
      <c r="G17" s="63"/>
      <c r="H17" s="63"/>
      <c r="I17" s="63"/>
      <c r="J17" s="63"/>
      <c r="K17" s="63"/>
      <c r="P17" s="47"/>
    </row>
    <row r="18" spans="2:26" x14ac:dyDescent="0.25">
      <c r="B18" s="63"/>
      <c r="C18" s="63"/>
      <c r="D18" s="63"/>
      <c r="E18" s="63"/>
      <c r="F18" s="63"/>
      <c r="G18" s="63"/>
      <c r="H18" s="63"/>
      <c r="I18" s="63"/>
      <c r="J18" s="63"/>
      <c r="K18" s="63"/>
      <c r="Q18" s="40">
        <f>Q14/Q15</f>
        <v>0.26779252110977081</v>
      </c>
      <c r="R18" s="40">
        <f t="shared" ref="R18:Z18" si="0">R14/R15</f>
        <v>0.36998972250770812</v>
      </c>
      <c r="S18" s="40">
        <f t="shared" si="0"/>
        <v>0.43838383838383838</v>
      </c>
      <c r="T18" s="40">
        <f t="shared" si="0"/>
        <v>0.50361944157187177</v>
      </c>
      <c r="U18" s="40">
        <f t="shared" si="0"/>
        <v>0.53553038105046336</v>
      </c>
      <c r="V18" s="40">
        <f t="shared" si="0"/>
        <v>0.59459459459459463</v>
      </c>
      <c r="W18" s="40">
        <f t="shared" si="0"/>
        <v>0.65157894736842104</v>
      </c>
      <c r="X18" s="40">
        <f t="shared" si="0"/>
        <v>0.72667398463227229</v>
      </c>
      <c r="Y18" s="40">
        <f t="shared" si="0"/>
        <v>0.83430571761960337</v>
      </c>
      <c r="Z18" s="40">
        <f t="shared" si="0"/>
        <v>1.233169129720854</v>
      </c>
    </row>
  </sheetData>
  <mergeCells count="2">
    <mergeCell ref="A1:N1"/>
    <mergeCell ref="O1:A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J9"/>
  <sheetViews>
    <sheetView workbookViewId="0">
      <selection activeCell="H9" sqref="C9:H9"/>
    </sheetView>
    <sheetView topLeftCell="A4" workbookViewId="1">
      <selection activeCell="E15" sqref="E15"/>
    </sheetView>
    <sheetView workbookViewId="2"/>
  </sheetViews>
  <sheetFormatPr defaultRowHeight="15" x14ac:dyDescent="0.25"/>
  <cols>
    <col min="3" max="3" width="22.5703125" customWidth="1"/>
    <col min="4" max="4" width="13.5703125" customWidth="1"/>
    <col min="5" max="5" width="14.7109375" customWidth="1"/>
    <col min="6" max="6" width="11.140625" customWidth="1"/>
    <col min="7" max="7" width="10.28515625" customWidth="1"/>
    <col min="8" max="8" width="10.5703125" customWidth="1"/>
    <col min="10" max="10" width="13.7109375" bestFit="1" customWidth="1"/>
  </cols>
  <sheetData>
    <row r="4" spans="3:10" x14ac:dyDescent="0.25">
      <c r="C4" s="79" t="s">
        <v>31</v>
      </c>
      <c r="D4" s="79" t="s">
        <v>117</v>
      </c>
      <c r="E4" s="79" t="s">
        <v>111</v>
      </c>
      <c r="F4" s="79" t="s">
        <v>116</v>
      </c>
      <c r="G4" s="79" t="s">
        <v>123</v>
      </c>
      <c r="H4" s="79" t="s">
        <v>118</v>
      </c>
    </row>
    <row r="5" spans="3:10" x14ac:dyDescent="0.25">
      <c r="C5" s="80" t="s">
        <v>41</v>
      </c>
      <c r="D5" s="80" t="s">
        <v>109</v>
      </c>
      <c r="E5" s="80" t="s">
        <v>112</v>
      </c>
      <c r="F5" s="81">
        <f>'Average consumption - PC 30 day'!C6</f>
        <v>1.4733149999999999</v>
      </c>
      <c r="G5" s="81">
        <f>'Average consumption - PC 30 day'!T6</f>
        <v>1.5981240000000001</v>
      </c>
      <c r="H5" s="80" t="s">
        <v>119</v>
      </c>
    </row>
    <row r="6" spans="3:10" x14ac:dyDescent="0.25">
      <c r="C6" s="80" t="s">
        <v>120</v>
      </c>
      <c r="D6" s="80" t="s">
        <v>110</v>
      </c>
      <c r="E6" s="80" t="s">
        <v>113</v>
      </c>
      <c r="F6" s="82">
        <v>143.81</v>
      </c>
      <c r="G6" s="82">
        <v>143.81</v>
      </c>
      <c r="H6" s="83" t="s">
        <v>121</v>
      </c>
    </row>
    <row r="7" spans="3:10" x14ac:dyDescent="0.25">
      <c r="C7" s="80" t="s">
        <v>108</v>
      </c>
      <c r="D7" s="84" t="s">
        <v>114</v>
      </c>
      <c r="E7" s="80" t="s">
        <v>115</v>
      </c>
      <c r="F7" s="85">
        <f>F6*F5*12*(10^7)/(10^9)</f>
        <v>25.425291617999996</v>
      </c>
      <c r="G7" s="85">
        <f>G6*G5*12*(10^7)/(10^9)</f>
        <v>27.579145492799999</v>
      </c>
      <c r="H7" s="80" t="s">
        <v>122</v>
      </c>
      <c r="J7" s="78"/>
    </row>
    <row r="8" spans="3:10" x14ac:dyDescent="0.25">
      <c r="C8" s="80" t="s">
        <v>128</v>
      </c>
      <c r="D8" s="84" t="s">
        <v>114</v>
      </c>
      <c r="E8" s="80" t="s">
        <v>124</v>
      </c>
      <c r="F8" s="80">
        <v>25.61</v>
      </c>
      <c r="G8" s="80">
        <v>26.47</v>
      </c>
      <c r="H8" s="86" t="s">
        <v>127</v>
      </c>
      <c r="J8" s="78"/>
    </row>
    <row r="9" spans="3:10" x14ac:dyDescent="0.25">
      <c r="C9" s="80" t="s">
        <v>125</v>
      </c>
      <c r="D9" s="84" t="s">
        <v>114</v>
      </c>
      <c r="E9" s="80" t="s">
        <v>126</v>
      </c>
      <c r="F9" s="85">
        <f>F8-F7</f>
        <v>0.18470838200000372</v>
      </c>
      <c r="G9" s="85">
        <f>G8-G7</f>
        <v>-1.1091454927999997</v>
      </c>
      <c r="H9" s="80" t="s">
        <v>122</v>
      </c>
    </row>
  </sheetData>
  <hyperlinks>
    <hyperlink ref="H6"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1"/>
  <sheetViews>
    <sheetView tabSelected="1" topLeftCell="A14" zoomScale="86" workbookViewId="0">
      <selection activeCell="I84" sqref="I84"/>
    </sheetView>
    <sheetView tabSelected="1" topLeftCell="A74" zoomScale="73" workbookViewId="1">
      <selection activeCell="J94" sqref="J94"/>
    </sheetView>
    <sheetView workbookViewId="2">
      <selection sqref="A1:N1"/>
    </sheetView>
  </sheetViews>
  <sheetFormatPr defaultRowHeight="15" x14ac:dyDescent="0.25"/>
  <cols>
    <col min="1" max="1" width="12.28515625" style="13" customWidth="1"/>
    <col min="2" max="2" width="12.5703125" style="8" customWidth="1"/>
    <col min="3" max="3" width="14.28515625" style="8" customWidth="1"/>
    <col min="4" max="7" width="8.7109375" style="8"/>
    <col min="8" max="8" width="14.42578125" style="8" customWidth="1"/>
    <col min="9" max="9" width="13.42578125" style="8" customWidth="1"/>
    <col min="10" max="13" width="8.7109375" style="8"/>
    <col min="14" max="14" width="8.7109375" style="14"/>
    <col min="15" max="15" width="12.28515625" style="54" customWidth="1"/>
    <col min="16" max="16" width="12.5703125" style="42" customWidth="1"/>
    <col min="17" max="17" width="10.42578125" style="111" customWidth="1"/>
    <col min="18" max="20" width="10" style="111" customWidth="1"/>
    <col min="21" max="21" width="12.85546875" style="111" customWidth="1"/>
    <col min="22" max="22" width="17.7109375" style="111" customWidth="1"/>
    <col min="23" max="23" width="17.140625" style="42" customWidth="1"/>
    <col min="24" max="29" width="8.7109375" style="42"/>
    <col min="30" max="30" width="8.7109375" style="55"/>
  </cols>
  <sheetData>
    <row r="1" spans="1:30" ht="29.25" thickBot="1" x14ac:dyDescent="0.5">
      <c r="A1" s="159"/>
      <c r="B1" s="160"/>
      <c r="C1" s="160"/>
      <c r="D1" s="160"/>
      <c r="E1" s="160"/>
      <c r="F1" s="160"/>
      <c r="G1" s="160"/>
      <c r="H1" s="160"/>
      <c r="I1" s="160"/>
      <c r="J1" s="160"/>
      <c r="K1" s="160"/>
      <c r="L1" s="160"/>
      <c r="M1" s="160"/>
      <c r="N1" s="161"/>
      <c r="O1" s="136" t="s">
        <v>50</v>
      </c>
      <c r="P1" s="137"/>
      <c r="Q1" s="137"/>
      <c r="R1" s="137"/>
      <c r="S1" s="137"/>
      <c r="T1" s="137"/>
      <c r="U1" s="137"/>
      <c r="V1" s="137"/>
      <c r="W1" s="137"/>
      <c r="X1" s="137"/>
      <c r="Y1" s="137"/>
      <c r="Z1" s="137"/>
      <c r="AA1" s="137"/>
      <c r="AB1" s="137"/>
      <c r="AC1" s="137"/>
      <c r="AD1" s="140"/>
    </row>
    <row r="3" spans="1:30" x14ac:dyDescent="0.25">
      <c r="B3" s="96" t="s">
        <v>13</v>
      </c>
      <c r="C3" s="122"/>
      <c r="D3" s="122"/>
      <c r="E3" s="122"/>
      <c r="F3" s="122"/>
      <c r="G3" s="122"/>
      <c r="H3" s="122"/>
      <c r="O3" s="37"/>
      <c r="P3" s="41" t="s">
        <v>13</v>
      </c>
    </row>
    <row r="4" spans="1:30" ht="72.599999999999994" customHeight="1" x14ac:dyDescent="0.25">
      <c r="B4" s="31" t="s">
        <v>142</v>
      </c>
      <c r="C4" s="31" t="s">
        <v>139</v>
      </c>
      <c r="D4" s="31" t="s">
        <v>143</v>
      </c>
      <c r="E4" s="31" t="s">
        <v>140</v>
      </c>
      <c r="F4" s="31" t="s">
        <v>141</v>
      </c>
      <c r="G4" s="31" t="s">
        <v>144</v>
      </c>
      <c r="H4" s="31" t="s">
        <v>145</v>
      </c>
      <c r="O4" s="37"/>
      <c r="P4" s="52" t="s">
        <v>142</v>
      </c>
      <c r="Q4" s="52" t="s">
        <v>139</v>
      </c>
      <c r="R4" s="52" t="s">
        <v>143</v>
      </c>
      <c r="S4" s="52" t="s">
        <v>140</v>
      </c>
      <c r="T4" s="52" t="s">
        <v>141</v>
      </c>
      <c r="U4" s="52" t="s">
        <v>144</v>
      </c>
      <c r="V4" s="52" t="s">
        <v>145</v>
      </c>
      <c r="Y4" s="108"/>
      <c r="Z4" s="108"/>
      <c r="AA4" s="108"/>
      <c r="AB4" s="108"/>
    </row>
    <row r="5" spans="1:30" x14ac:dyDescent="0.25">
      <c r="B5" s="31" t="s">
        <v>1</v>
      </c>
      <c r="C5" s="123">
        <v>186.81453500000001</v>
      </c>
      <c r="D5" s="123">
        <v>10.213290000000001</v>
      </c>
      <c r="E5" s="123">
        <v>5413.97</v>
      </c>
      <c r="F5" s="124">
        <f>C5/E5</f>
        <v>3.45060159180786E-2</v>
      </c>
      <c r="G5" s="124">
        <f>D5/E5</f>
        <v>1.8864696331896927E-3</v>
      </c>
      <c r="H5" s="125">
        <f>SUM(F5:G5)</f>
        <v>3.639248555126829E-2</v>
      </c>
      <c r="O5" s="37"/>
      <c r="P5" s="52" t="s">
        <v>1</v>
      </c>
      <c r="Q5" s="113">
        <v>157.02299600000001</v>
      </c>
      <c r="R5" s="113">
        <v>10.625108000000001</v>
      </c>
      <c r="S5" s="113">
        <v>5718.1440130000001</v>
      </c>
      <c r="T5" s="114">
        <f>Q5/S5</f>
        <v>2.7460482919460183E-2</v>
      </c>
      <c r="U5" s="114">
        <f>R5/S5</f>
        <v>1.858139280130789E-3</v>
      </c>
      <c r="V5" s="119">
        <f>SUM(T5:U5)</f>
        <v>2.9318622199590971E-2</v>
      </c>
      <c r="X5" s="108"/>
      <c r="Y5" s="108"/>
      <c r="Z5" s="118"/>
      <c r="AA5" s="118"/>
      <c r="AB5" s="118"/>
    </row>
    <row r="6" spans="1:30" ht="30" x14ac:dyDescent="0.25">
      <c r="B6" s="31" t="s">
        <v>6</v>
      </c>
      <c r="C6" s="123">
        <v>36.005628000000002</v>
      </c>
      <c r="D6" s="123">
        <v>74.868512999999993</v>
      </c>
      <c r="E6" s="123">
        <v>3218.9755180000002</v>
      </c>
      <c r="F6" s="124">
        <f>C6/E6</f>
        <v>1.1185430829983715E-2</v>
      </c>
      <c r="G6" s="124">
        <f>D6/E6</f>
        <v>2.3258490964391358E-2</v>
      </c>
      <c r="H6" s="125">
        <f>SUM(F6:G6)</f>
        <v>3.4443921794375075E-2</v>
      </c>
      <c r="O6" s="37"/>
      <c r="P6" s="52" t="s">
        <v>6</v>
      </c>
      <c r="Q6" s="113">
        <v>34.421540999999998</v>
      </c>
      <c r="R6" s="113">
        <v>76.116185000000002</v>
      </c>
      <c r="S6" s="113">
        <v>3557.1393680000001</v>
      </c>
      <c r="T6" s="114">
        <f>Q6/S6</f>
        <v>9.6767479254976432E-3</v>
      </c>
      <c r="U6" s="114">
        <f>R6/S6</f>
        <v>2.1398145286277127E-2</v>
      </c>
      <c r="V6" s="119">
        <f>SUM(T6:U6)</f>
        <v>3.1074893211774771E-2</v>
      </c>
      <c r="X6" s="108"/>
      <c r="Y6" s="108"/>
      <c r="Z6" s="108"/>
      <c r="AA6" s="108"/>
    </row>
    <row r="7" spans="1:30" ht="30" x14ac:dyDescent="0.25">
      <c r="A7" s="15"/>
      <c r="B7" s="31" t="s">
        <v>150</v>
      </c>
      <c r="C7" s="128">
        <v>122.74620899999999</v>
      </c>
      <c r="D7" s="128">
        <v>37.680844999999998</v>
      </c>
      <c r="E7" s="128">
        <v>4481.467901</v>
      </c>
      <c r="F7" s="124">
        <f>C7/E7</f>
        <v>2.7389732942773116E-2</v>
      </c>
      <c r="G7" s="124">
        <f>D7/E7</f>
        <v>8.408147917692739E-3</v>
      </c>
      <c r="H7" s="125">
        <f>SUM(F7:G7)</f>
        <v>3.5797880860465855E-2</v>
      </c>
      <c r="O7" s="37"/>
      <c r="P7" s="52" t="s">
        <v>150</v>
      </c>
      <c r="Q7" s="132">
        <v>111.205265</v>
      </c>
      <c r="R7" s="132">
        <v>35.099961</v>
      </c>
      <c r="S7" s="132">
        <v>4910.5489479999997</v>
      </c>
      <c r="T7" s="114">
        <f>Q7/S7</f>
        <v>2.2646198251479073E-2</v>
      </c>
      <c r="U7" s="114">
        <f>R7/S7</f>
        <v>7.1478690817847849E-3</v>
      </c>
      <c r="V7" s="119">
        <f>SUM(T7:U7)</f>
        <v>2.9794067333263858E-2</v>
      </c>
      <c r="X7" s="108"/>
      <c r="Y7" s="118"/>
      <c r="Z7" s="118"/>
      <c r="AA7" s="118"/>
    </row>
    <row r="8" spans="1:30" x14ac:dyDescent="0.25">
      <c r="A8" s="15"/>
      <c r="O8" s="37"/>
      <c r="X8" s="108"/>
      <c r="Y8" s="118"/>
      <c r="Z8" s="118"/>
      <c r="AA8" s="118"/>
    </row>
    <row r="9" spans="1:30" x14ac:dyDescent="0.25">
      <c r="A9" s="15"/>
      <c r="B9" s="4"/>
      <c r="C9" s="4"/>
      <c r="O9" s="37"/>
      <c r="P9" s="108"/>
      <c r="Q9" s="108"/>
      <c r="X9" s="108"/>
      <c r="Y9" s="118"/>
      <c r="Z9" s="118"/>
      <c r="AA9" s="118"/>
    </row>
    <row r="10" spans="1:30" x14ac:dyDescent="0.25">
      <c r="A10" s="107"/>
      <c r="B10" s="127" t="s">
        <v>18</v>
      </c>
      <c r="C10" s="106"/>
      <c r="D10" s="122"/>
      <c r="E10" s="122"/>
      <c r="F10" s="122"/>
      <c r="G10" s="122"/>
      <c r="H10" s="122"/>
      <c r="O10" s="109"/>
      <c r="P10" s="126" t="s">
        <v>18</v>
      </c>
      <c r="Q10" s="110"/>
    </row>
    <row r="11" spans="1:30" ht="47.1" customHeight="1" x14ac:dyDescent="0.25">
      <c r="A11" s="15"/>
      <c r="B11" s="2" t="s">
        <v>27</v>
      </c>
      <c r="C11" s="31" t="s">
        <v>142</v>
      </c>
      <c r="D11" s="31" t="s">
        <v>139</v>
      </c>
      <c r="E11" s="31" t="s">
        <v>143</v>
      </c>
      <c r="F11" s="31" t="s">
        <v>140</v>
      </c>
      <c r="G11" s="31" t="s">
        <v>141</v>
      </c>
      <c r="H11" s="31" t="s">
        <v>144</v>
      </c>
      <c r="I11" s="31" t="s">
        <v>145</v>
      </c>
      <c r="O11" s="37"/>
      <c r="P11" s="43" t="s">
        <v>27</v>
      </c>
      <c r="Q11" s="52" t="s">
        <v>142</v>
      </c>
      <c r="R11" s="52" t="s">
        <v>139</v>
      </c>
      <c r="S11" s="52" t="s">
        <v>143</v>
      </c>
      <c r="T11" s="52" t="s">
        <v>140</v>
      </c>
      <c r="U11" s="52" t="s">
        <v>141</v>
      </c>
      <c r="V11" s="52" t="s">
        <v>144</v>
      </c>
      <c r="W11" s="52" t="s">
        <v>145</v>
      </c>
    </row>
    <row r="12" spans="1:30" x14ac:dyDescent="0.25">
      <c r="A12" s="15"/>
      <c r="B12" s="2" t="s">
        <v>14</v>
      </c>
      <c r="C12" s="31" t="s">
        <v>1</v>
      </c>
      <c r="D12" s="128">
        <v>170.12262000000001</v>
      </c>
      <c r="E12" s="128">
        <v>15.799643</v>
      </c>
      <c r="F12" s="128">
        <v>4535.3335509999997</v>
      </c>
      <c r="G12" s="124">
        <f>D12/F12</f>
        <v>3.7510497979247749E-2</v>
      </c>
      <c r="H12" s="124">
        <f>E12/F12</f>
        <v>3.4836782834894958E-3</v>
      </c>
      <c r="I12" s="73">
        <f>SUM(G12:H12)</f>
        <v>4.0994176262737242E-2</v>
      </c>
      <c r="O12" s="37"/>
      <c r="P12" s="43" t="s">
        <v>14</v>
      </c>
      <c r="Q12" s="52" t="s">
        <v>1</v>
      </c>
      <c r="R12" s="115">
        <v>143.63266200000001</v>
      </c>
      <c r="S12" s="115">
        <v>16.071894</v>
      </c>
      <c r="T12" s="115">
        <v>4794.0495069999997</v>
      </c>
      <c r="U12" s="114">
        <f>R12/T12</f>
        <v>2.9960613003740519E-2</v>
      </c>
      <c r="V12" s="114">
        <f>S12/T12</f>
        <v>3.3524672568634784E-3</v>
      </c>
      <c r="W12" s="120">
        <f>SUM(U12:V12)</f>
        <v>3.3313080260603999E-2</v>
      </c>
    </row>
    <row r="13" spans="1:30" ht="30" x14ac:dyDescent="0.25">
      <c r="A13" s="15"/>
      <c r="B13" s="2" t="s">
        <v>14</v>
      </c>
      <c r="C13" s="31" t="s">
        <v>6</v>
      </c>
      <c r="D13" s="128">
        <v>34.601771999999997</v>
      </c>
      <c r="E13" s="128">
        <v>74.288628000000003</v>
      </c>
      <c r="F13" s="128">
        <v>3196.0140919999999</v>
      </c>
      <c r="G13" s="124">
        <f t="shared" ref="G13:G16" si="0">D13/F13</f>
        <v>1.082653924668615E-2</v>
      </c>
      <c r="H13" s="124">
        <f t="shared" ref="H13:H16" si="1">E13/F13</f>
        <v>2.3244149074922164E-2</v>
      </c>
      <c r="I13" s="73">
        <f t="shared" ref="I13:I16" si="2">SUM(G13:H13)</f>
        <v>3.4070688321608311E-2</v>
      </c>
      <c r="O13" s="37"/>
      <c r="P13" s="43" t="s">
        <v>14</v>
      </c>
      <c r="Q13" s="52" t="s">
        <v>6</v>
      </c>
      <c r="R13" s="115">
        <v>33.556451000000003</v>
      </c>
      <c r="S13" s="115">
        <v>75.242903999999996</v>
      </c>
      <c r="T13" s="115">
        <v>3525.9584949999999</v>
      </c>
      <c r="U13" s="114">
        <f t="shared" ref="U13:U16" si="3">R13/T13</f>
        <v>9.5169727742356776E-3</v>
      </c>
      <c r="V13" s="114">
        <f t="shared" ref="V13:V16" si="4">S13/T13</f>
        <v>2.1339702128286113E-2</v>
      </c>
      <c r="W13" s="120">
        <f t="shared" ref="W13:W16" si="5">SUM(U13:V13)</f>
        <v>3.0856674902521791E-2</v>
      </c>
      <c r="Z13" s="36"/>
      <c r="AA13" s="36"/>
      <c r="AB13" s="36"/>
      <c r="AC13" s="36"/>
    </row>
    <row r="14" spans="1:30" ht="30" x14ac:dyDescent="0.25">
      <c r="A14" s="15"/>
      <c r="B14" s="2" t="s">
        <v>14</v>
      </c>
      <c r="C14" s="31" t="s">
        <v>150</v>
      </c>
      <c r="D14" s="128">
        <v>94.024005000000002</v>
      </c>
      <c r="E14" s="128">
        <v>48.642786999999998</v>
      </c>
      <c r="F14" s="128">
        <v>3783.2695130000002</v>
      </c>
      <c r="G14" s="124">
        <f t="shared" ref="G14" si="6">D14/F14</f>
        <v>2.4852579145344118E-2</v>
      </c>
      <c r="H14" s="124">
        <f t="shared" ref="H14" si="7">E14/F14</f>
        <v>1.2857341205233875E-2</v>
      </c>
      <c r="I14" s="73">
        <f t="shared" ref="I14" si="8">SUM(G14:H14)</f>
        <v>3.7709920350577991E-2</v>
      </c>
      <c r="O14" s="37"/>
      <c r="P14" s="43" t="s">
        <v>14</v>
      </c>
      <c r="Q14" s="52" t="s">
        <v>150</v>
      </c>
      <c r="R14" s="115">
        <v>87.969667000000001</v>
      </c>
      <c r="S14" s="115">
        <v>45.993304999999999</v>
      </c>
      <c r="T14" s="115">
        <v>4152.805206</v>
      </c>
      <c r="U14" s="114">
        <f t="shared" ref="U14" si="9">R14/T14</f>
        <v>2.1183191273431476E-2</v>
      </c>
      <c r="V14" s="114">
        <f t="shared" ref="V14" si="10">S14/T14</f>
        <v>1.107523775339825E-2</v>
      </c>
      <c r="W14" s="120">
        <f t="shared" ref="W14" si="11">SUM(U14:V14)</f>
        <v>3.2258429026829724E-2</v>
      </c>
      <c r="Z14" s="36"/>
      <c r="AA14" s="36"/>
      <c r="AB14" s="36"/>
      <c r="AC14" s="36"/>
    </row>
    <row r="15" spans="1:30" x14ac:dyDescent="0.25">
      <c r="A15" s="15"/>
      <c r="B15" s="2" t="s">
        <v>15</v>
      </c>
      <c r="C15" s="31" t="s">
        <v>1</v>
      </c>
      <c r="D15" s="128">
        <v>206.95557199999999</v>
      </c>
      <c r="E15" s="128">
        <v>3.4726059999999999</v>
      </c>
      <c r="F15" s="128">
        <v>6474.1628250000003</v>
      </c>
      <c r="G15" s="124">
        <f t="shared" si="0"/>
        <v>3.1966383545504969E-2</v>
      </c>
      <c r="H15" s="124">
        <f t="shared" si="1"/>
        <v>5.3637915725420447E-4</v>
      </c>
      <c r="I15" s="73">
        <f t="shared" si="2"/>
        <v>3.2502762702759175E-2</v>
      </c>
      <c r="J15" s="96"/>
      <c r="K15" s="96"/>
      <c r="O15" s="37"/>
      <c r="P15" s="43" t="s">
        <v>15</v>
      </c>
      <c r="Q15" s="52" t="s">
        <v>1</v>
      </c>
      <c r="R15" s="115">
        <v>173.89177799999999</v>
      </c>
      <c r="S15" s="115">
        <v>3.763395</v>
      </c>
      <c r="T15" s="115">
        <v>6882.2934660000001</v>
      </c>
      <c r="U15" s="114">
        <f t="shared" si="3"/>
        <v>2.5266545063656835E-2</v>
      </c>
      <c r="V15" s="114">
        <f t="shared" si="4"/>
        <v>5.4682280239748209E-4</v>
      </c>
      <c r="W15" s="120">
        <f t="shared" si="5"/>
        <v>2.5813367866054315E-2</v>
      </c>
      <c r="X15" s="41"/>
      <c r="Z15" s="36"/>
      <c r="AA15" s="36"/>
      <c r="AB15" s="36"/>
      <c r="AC15" s="36"/>
    </row>
    <row r="16" spans="1:30" ht="30" x14ac:dyDescent="0.25">
      <c r="A16" s="15"/>
      <c r="B16" s="2" t="s">
        <v>15</v>
      </c>
      <c r="C16" s="31" t="s">
        <v>6</v>
      </c>
      <c r="D16" s="128">
        <v>61.648603999999999</v>
      </c>
      <c r="E16" s="128">
        <v>85.460755000000006</v>
      </c>
      <c r="F16" s="128">
        <v>3638.391357</v>
      </c>
      <c r="G16" s="124">
        <f t="shared" si="0"/>
        <v>1.6943917778771262E-2</v>
      </c>
      <c r="H16" s="124">
        <f t="shared" si="1"/>
        <v>2.3488609831809251E-2</v>
      </c>
      <c r="I16" s="73">
        <f t="shared" si="2"/>
        <v>4.0432527610580513E-2</v>
      </c>
      <c r="J16" s="63"/>
      <c r="K16" s="63"/>
      <c r="O16" s="37"/>
      <c r="P16" s="43" t="s">
        <v>15</v>
      </c>
      <c r="Q16" s="52" t="s">
        <v>6</v>
      </c>
      <c r="R16" s="115">
        <v>53.088017999999998</v>
      </c>
      <c r="S16" s="115">
        <v>94.959379999999996</v>
      </c>
      <c r="T16" s="115">
        <v>4229.9441930000003</v>
      </c>
      <c r="U16" s="114">
        <f t="shared" si="3"/>
        <v>1.255052444612713E-2</v>
      </c>
      <c r="V16" s="114">
        <f t="shared" si="4"/>
        <v>2.2449322181873049E-2</v>
      </c>
      <c r="W16" s="120">
        <f t="shared" si="5"/>
        <v>3.4999846628000181E-2</v>
      </c>
      <c r="X16" s="64"/>
      <c r="Z16" s="36"/>
      <c r="AA16" s="36"/>
      <c r="AB16" s="36"/>
      <c r="AC16" s="36"/>
    </row>
    <row r="17" spans="1:25" ht="30" x14ac:dyDescent="0.25">
      <c r="A17" s="15"/>
      <c r="B17" s="2" t="s">
        <v>15</v>
      </c>
      <c r="C17" s="31" t="s">
        <v>150</v>
      </c>
      <c r="D17" s="128">
        <v>195.62177800000001</v>
      </c>
      <c r="E17" s="128">
        <v>9.867597</v>
      </c>
      <c r="F17" s="128">
        <v>6252.9755709999999</v>
      </c>
      <c r="G17" s="124">
        <f t="shared" ref="G17" si="12">D17/F17</f>
        <v>3.1284590156925147E-2</v>
      </c>
      <c r="H17" s="124">
        <f t="shared" ref="H17" si="13">E17/F17</f>
        <v>1.5780642172606371E-3</v>
      </c>
      <c r="I17" s="73">
        <f t="shared" ref="I17" si="14">SUM(G17:H17)</f>
        <v>3.2862654374185785E-2</v>
      </c>
      <c r="J17" s="63"/>
      <c r="K17" s="63"/>
      <c r="O17" s="37"/>
      <c r="P17" s="43" t="s">
        <v>15</v>
      </c>
      <c r="Q17" s="52" t="s">
        <v>150</v>
      </c>
      <c r="R17" s="115">
        <v>167.08344099999999</v>
      </c>
      <c r="S17" s="115">
        <v>8.9030780000000007</v>
      </c>
      <c r="T17" s="115">
        <v>6732.8106180000004</v>
      </c>
      <c r="U17" s="114">
        <f t="shared" ref="U17" si="15">R17/T17</f>
        <v>2.4816298939599846E-2</v>
      </c>
      <c r="V17" s="114">
        <f t="shared" ref="V17" si="16">S17/T17</f>
        <v>1.3223419616464251E-3</v>
      </c>
      <c r="W17" s="120">
        <f t="shared" ref="W17" si="17">SUM(U17:V17)</f>
        <v>2.613864090124627E-2</v>
      </c>
      <c r="X17" s="64"/>
    </row>
    <row r="18" spans="1:25" x14ac:dyDescent="0.25">
      <c r="A18" s="15"/>
      <c r="B18" s="63"/>
      <c r="C18" s="63"/>
      <c r="D18" s="63"/>
      <c r="E18" s="63"/>
      <c r="F18" s="63"/>
      <c r="G18" s="63"/>
      <c r="H18" s="63"/>
      <c r="I18" s="63"/>
      <c r="J18" s="4"/>
      <c r="K18" s="4"/>
      <c r="L18" s="4"/>
      <c r="M18" s="4"/>
      <c r="O18" s="37"/>
      <c r="U18" s="112"/>
      <c r="V18" s="112"/>
      <c r="W18" s="64"/>
      <c r="X18" s="64"/>
    </row>
    <row r="19" spans="1:25" x14ac:dyDescent="0.25">
      <c r="J19" s="4"/>
      <c r="K19" s="4"/>
      <c r="L19" s="4"/>
      <c r="M19" s="4"/>
    </row>
    <row r="20" spans="1:25" x14ac:dyDescent="0.25">
      <c r="B20" s="129" t="s">
        <v>146</v>
      </c>
      <c r="C20" s="130"/>
      <c r="D20" s="130"/>
      <c r="E20" s="130"/>
      <c r="F20" s="130"/>
      <c r="G20" s="130"/>
      <c r="H20" s="130"/>
      <c r="I20" s="63"/>
      <c r="J20" s="4"/>
      <c r="K20" s="7"/>
      <c r="L20" s="7"/>
      <c r="M20" s="7"/>
      <c r="P20" s="116" t="s">
        <v>146</v>
      </c>
      <c r="Q20" s="112"/>
      <c r="R20" s="112"/>
      <c r="S20" s="112"/>
      <c r="T20" s="112"/>
      <c r="U20" s="112"/>
      <c r="V20" s="112"/>
      <c r="W20" s="64"/>
      <c r="X20" s="64"/>
      <c r="Y20" s="64"/>
    </row>
    <row r="21" spans="1:25" ht="72.599999999999994" customHeight="1" x14ac:dyDescent="0.25">
      <c r="B21" s="21" t="s">
        <v>48</v>
      </c>
      <c r="C21" s="31" t="s">
        <v>139</v>
      </c>
      <c r="D21" s="31" t="s">
        <v>143</v>
      </c>
      <c r="E21" s="31" t="s">
        <v>140</v>
      </c>
      <c r="F21" s="31" t="s">
        <v>141</v>
      </c>
      <c r="G21" s="31" t="s">
        <v>144</v>
      </c>
      <c r="H21" s="31" t="s">
        <v>145</v>
      </c>
      <c r="I21" s="63"/>
      <c r="J21" s="4"/>
      <c r="K21" s="7"/>
      <c r="L21" s="7"/>
      <c r="M21" s="7"/>
      <c r="P21" s="117" t="s">
        <v>48</v>
      </c>
      <c r="Q21" s="52" t="s">
        <v>139</v>
      </c>
      <c r="R21" s="52" t="s">
        <v>143</v>
      </c>
      <c r="S21" s="52" t="s">
        <v>140</v>
      </c>
      <c r="T21" s="52" t="s">
        <v>141</v>
      </c>
      <c r="U21" s="52" t="s">
        <v>144</v>
      </c>
      <c r="V21" s="52" t="s">
        <v>145</v>
      </c>
      <c r="W21" s="64"/>
      <c r="X21" s="64"/>
      <c r="Y21" s="64"/>
    </row>
    <row r="22" spans="1:25" x14ac:dyDescent="0.25">
      <c r="B22" s="21">
        <v>1</v>
      </c>
      <c r="C22" s="131">
        <v>112.079725</v>
      </c>
      <c r="D22" s="131">
        <v>9.903473</v>
      </c>
      <c r="E22" s="131">
        <v>1653.6850790000001</v>
      </c>
      <c r="F22" s="124">
        <f>C22/E22</f>
        <v>6.7775737002946007E-2</v>
      </c>
      <c r="G22" s="124">
        <f>D22/E22</f>
        <v>5.9887297320168897E-3</v>
      </c>
      <c r="H22" s="73">
        <f>SUM(F22:G22)</f>
        <v>7.3764466734962897E-2</v>
      </c>
      <c r="P22" s="117">
        <v>1</v>
      </c>
      <c r="Q22" s="121">
        <v>100.77141399999999</v>
      </c>
      <c r="R22" s="121">
        <v>12.696154999999999</v>
      </c>
      <c r="S22" s="121">
        <v>1982.2310199999999</v>
      </c>
      <c r="T22" s="114">
        <f>Q22/S22</f>
        <v>5.0837371115300171E-2</v>
      </c>
      <c r="U22" s="114">
        <f>R22/S22</f>
        <v>6.4049825029980608E-3</v>
      </c>
      <c r="V22" s="120">
        <f>SUM(T22:U22)</f>
        <v>5.7242353618298235E-2</v>
      </c>
    </row>
    <row r="23" spans="1:25" x14ac:dyDescent="0.25">
      <c r="B23" s="21">
        <v>2</v>
      </c>
      <c r="C23" s="131">
        <v>125.593447</v>
      </c>
      <c r="D23" s="131">
        <v>13.92633</v>
      </c>
      <c r="E23" s="131">
        <v>2121.0009329999998</v>
      </c>
      <c r="F23" s="124">
        <f t="shared" ref="F23:F31" si="18">C23/E23</f>
        <v>5.921423467850969E-2</v>
      </c>
      <c r="G23" s="124">
        <f t="shared" ref="G23:G31" si="19">D23/E23</f>
        <v>6.5659235615244315E-3</v>
      </c>
      <c r="H23" s="73">
        <f t="shared" ref="H23:H31" si="20">SUM(F23:G23)</f>
        <v>6.5780158240034123E-2</v>
      </c>
      <c r="P23" s="117">
        <v>2</v>
      </c>
      <c r="Q23" s="121">
        <v>110.760828</v>
      </c>
      <c r="R23" s="121">
        <v>13.328360999999999</v>
      </c>
      <c r="S23" s="121">
        <v>2482.3502950000002</v>
      </c>
      <c r="T23" s="114">
        <f t="shared" ref="T23:T31" si="21">Q23/S23</f>
        <v>4.4619338464477271E-2</v>
      </c>
      <c r="U23" s="114">
        <f t="shared" ref="U23:U31" si="22">R23/S23</f>
        <v>5.3692506762024082E-3</v>
      </c>
      <c r="V23" s="120">
        <f t="shared" ref="V23:V31" si="23">SUM(T23:U23)</f>
        <v>4.9988589140679676E-2</v>
      </c>
    </row>
    <row r="24" spans="1:25" x14ac:dyDescent="0.25">
      <c r="B24" s="21">
        <v>3</v>
      </c>
      <c r="C24" s="131">
        <v>138.221295</v>
      </c>
      <c r="D24" s="131">
        <v>13.526510999999999</v>
      </c>
      <c r="E24" s="131">
        <v>2455.6852090000002</v>
      </c>
      <c r="F24" s="124">
        <f t="shared" si="18"/>
        <v>5.6286243242180956E-2</v>
      </c>
      <c r="G24" s="124">
        <f t="shared" si="19"/>
        <v>5.5082430559201196E-3</v>
      </c>
      <c r="H24" s="73">
        <f t="shared" si="20"/>
        <v>6.1794486298101074E-2</v>
      </c>
      <c r="P24" s="117">
        <v>3</v>
      </c>
      <c r="Q24" s="121">
        <v>117.983548</v>
      </c>
      <c r="R24" s="121">
        <v>13.91535</v>
      </c>
      <c r="S24" s="121">
        <v>2837.3270680000001</v>
      </c>
      <c r="T24" s="114">
        <f t="shared" si="21"/>
        <v>4.158263928422086E-2</v>
      </c>
      <c r="U24" s="114">
        <f t="shared" si="22"/>
        <v>4.9043870045651005E-3</v>
      </c>
      <c r="V24" s="120">
        <f t="shared" si="23"/>
        <v>4.6487026288785961E-2</v>
      </c>
    </row>
    <row r="25" spans="1:25" x14ac:dyDescent="0.25">
      <c r="B25" s="21">
        <v>4</v>
      </c>
      <c r="C25" s="131">
        <v>141.97172599999999</v>
      </c>
      <c r="D25" s="131">
        <v>14.426413999999999</v>
      </c>
      <c r="E25" s="131">
        <v>2774.2484939999999</v>
      </c>
      <c r="F25" s="124">
        <f t="shared" si="18"/>
        <v>5.1174841153216459E-2</v>
      </c>
      <c r="G25" s="124">
        <f t="shared" si="19"/>
        <v>5.2001160066233055E-3</v>
      </c>
      <c r="H25" s="73">
        <f t="shared" si="20"/>
        <v>5.6374957159839763E-2</v>
      </c>
      <c r="P25" s="117">
        <v>4</v>
      </c>
      <c r="Q25" s="121">
        <v>124.255527</v>
      </c>
      <c r="R25" s="121">
        <v>15.164835999999999</v>
      </c>
      <c r="S25" s="121">
        <v>3164.6251040000002</v>
      </c>
      <c r="T25" s="114">
        <f t="shared" si="21"/>
        <v>3.9263901067758199E-2</v>
      </c>
      <c r="U25" s="114">
        <f t="shared" si="22"/>
        <v>4.7919849908389014E-3</v>
      </c>
      <c r="V25" s="120">
        <f t="shared" si="23"/>
        <v>4.4055886058597102E-2</v>
      </c>
    </row>
    <row r="26" spans="1:25" x14ac:dyDescent="0.25">
      <c r="B26" s="21">
        <v>5</v>
      </c>
      <c r="C26" s="131">
        <v>147.67254500000001</v>
      </c>
      <c r="D26" s="131">
        <v>15.685908</v>
      </c>
      <c r="E26" s="131">
        <v>3098.9571940000001</v>
      </c>
      <c r="F26" s="124">
        <f t="shared" si="18"/>
        <v>4.7652334561417632E-2</v>
      </c>
      <c r="G26" s="124">
        <f t="shared" si="19"/>
        <v>5.0616730138673864E-3</v>
      </c>
      <c r="H26" s="73">
        <f t="shared" si="20"/>
        <v>5.2714007575285021E-2</v>
      </c>
      <c r="P26" s="117">
        <v>5</v>
      </c>
      <c r="Q26" s="121">
        <v>128.809155</v>
      </c>
      <c r="R26" s="121">
        <v>15.217226999999999</v>
      </c>
      <c r="S26" s="121">
        <v>3501.7555860000002</v>
      </c>
      <c r="T26" s="114">
        <f t="shared" si="21"/>
        <v>3.6784164924296349E-2</v>
      </c>
      <c r="U26" s="114">
        <f t="shared" si="22"/>
        <v>4.3455994075766993E-3</v>
      </c>
      <c r="V26" s="120">
        <f t="shared" si="23"/>
        <v>4.1129764331873049E-2</v>
      </c>
    </row>
    <row r="27" spans="1:25" x14ac:dyDescent="0.25">
      <c r="B27" s="21">
        <v>6</v>
      </c>
      <c r="C27" s="131">
        <v>157.392539</v>
      </c>
      <c r="D27" s="131">
        <v>16.572624000000001</v>
      </c>
      <c r="E27" s="131">
        <v>3461.2190350000001</v>
      </c>
      <c r="F27" s="124">
        <f t="shared" si="18"/>
        <v>4.5473151917991804E-2</v>
      </c>
      <c r="G27" s="124">
        <f t="shared" si="19"/>
        <v>4.7880887723131338E-3</v>
      </c>
      <c r="H27" s="73">
        <f t="shared" si="20"/>
        <v>5.0261240690304937E-2</v>
      </c>
      <c r="P27" s="117">
        <v>6</v>
      </c>
      <c r="Q27" s="121">
        <v>133.96755300000001</v>
      </c>
      <c r="R27" s="121">
        <v>15.710966000000001</v>
      </c>
      <c r="S27" s="121">
        <v>3870.7887230000001</v>
      </c>
      <c r="T27" s="114">
        <f t="shared" si="21"/>
        <v>3.4609885113070796E-2</v>
      </c>
      <c r="U27" s="114">
        <f t="shared" si="22"/>
        <v>4.0588539246914617E-3</v>
      </c>
      <c r="V27" s="120">
        <f t="shared" si="23"/>
        <v>3.8668739037762259E-2</v>
      </c>
    </row>
    <row r="28" spans="1:25" x14ac:dyDescent="0.25">
      <c r="B28" s="21">
        <v>7</v>
      </c>
      <c r="C28" s="131">
        <v>165.26472799999999</v>
      </c>
      <c r="D28" s="131">
        <v>16.053554999999999</v>
      </c>
      <c r="E28" s="131">
        <v>3893.9353809999998</v>
      </c>
      <c r="F28" s="124">
        <f t="shared" si="18"/>
        <v>4.2441569217196003E-2</v>
      </c>
      <c r="G28" s="124">
        <f t="shared" si="19"/>
        <v>4.122707089165227E-3</v>
      </c>
      <c r="H28" s="73">
        <f t="shared" si="20"/>
        <v>4.656427630636123E-2</v>
      </c>
      <c r="P28" s="117">
        <v>7</v>
      </c>
      <c r="Q28" s="121">
        <v>140.67365000000001</v>
      </c>
      <c r="R28" s="121">
        <v>15.835159000000001</v>
      </c>
      <c r="S28" s="121">
        <v>4307.4527399999997</v>
      </c>
      <c r="T28" s="114">
        <f t="shared" si="21"/>
        <v>3.2658199286476682E-2</v>
      </c>
      <c r="U28" s="114">
        <f t="shared" si="22"/>
        <v>3.6762235028027267E-3</v>
      </c>
      <c r="V28" s="120">
        <f t="shared" si="23"/>
        <v>3.6334422789279411E-2</v>
      </c>
    </row>
    <row r="29" spans="1:25" x14ac:dyDescent="0.25">
      <c r="B29" s="21">
        <v>8</v>
      </c>
      <c r="C29" s="131">
        <v>175.71074100000001</v>
      </c>
      <c r="D29" s="131">
        <v>17.256730999999998</v>
      </c>
      <c r="E29" s="131">
        <v>4464.3320599999997</v>
      </c>
      <c r="F29" s="124">
        <f t="shared" si="18"/>
        <v>3.9358797383006502E-2</v>
      </c>
      <c r="G29" s="124">
        <f t="shared" si="19"/>
        <v>3.865467614879884E-3</v>
      </c>
      <c r="H29" s="73">
        <f t="shared" si="20"/>
        <v>4.3224264997886383E-2</v>
      </c>
      <c r="P29" s="117">
        <v>8</v>
      </c>
      <c r="Q29" s="121">
        <v>147.17730700000001</v>
      </c>
      <c r="R29" s="121">
        <v>17.25572</v>
      </c>
      <c r="S29" s="121">
        <v>4892.005177</v>
      </c>
      <c r="T29" s="114">
        <f t="shared" si="21"/>
        <v>3.0085272127666846E-2</v>
      </c>
      <c r="U29" s="114">
        <f t="shared" si="22"/>
        <v>3.5273306907213846E-3</v>
      </c>
      <c r="V29" s="120">
        <f t="shared" si="23"/>
        <v>3.3612602818388231E-2</v>
      </c>
    </row>
    <row r="30" spans="1:25" x14ac:dyDescent="0.25">
      <c r="B30" s="21">
        <v>9</v>
      </c>
      <c r="C30" s="131">
        <v>187.22822199999999</v>
      </c>
      <c r="D30" s="131">
        <v>16.224526000000001</v>
      </c>
      <c r="E30" s="131">
        <v>5373.3478359999999</v>
      </c>
      <c r="F30" s="124">
        <f t="shared" si="18"/>
        <v>3.4843867866811221E-2</v>
      </c>
      <c r="G30" s="124">
        <f t="shared" si="19"/>
        <v>3.0194445800251373E-3</v>
      </c>
      <c r="H30" s="73">
        <f t="shared" si="20"/>
        <v>3.7863312446836356E-2</v>
      </c>
      <c r="P30" s="117">
        <v>9</v>
      </c>
      <c r="Q30" s="121">
        <v>157.36966799999999</v>
      </c>
      <c r="R30" s="121">
        <v>17.901900999999999</v>
      </c>
      <c r="S30" s="121">
        <v>5773.5945019999999</v>
      </c>
      <c r="T30" s="114">
        <f t="shared" si="21"/>
        <v>2.7256792617750762E-2</v>
      </c>
      <c r="U30" s="114">
        <f t="shared" si="22"/>
        <v>3.1006509019292396E-3</v>
      </c>
      <c r="V30" s="120">
        <f t="shared" si="23"/>
        <v>3.0357443519680002E-2</v>
      </c>
    </row>
    <row r="31" spans="1:25" x14ac:dyDescent="0.25">
      <c r="B31" s="21">
        <v>10</v>
      </c>
      <c r="C31" s="131">
        <v>222.073353</v>
      </c>
      <c r="D31" s="131">
        <v>16.862152999999999</v>
      </c>
      <c r="E31" s="131">
        <v>8501.3081700000002</v>
      </c>
      <c r="F31" s="124">
        <f t="shared" si="18"/>
        <v>2.6122256546782727E-2</v>
      </c>
      <c r="G31" s="124">
        <f t="shared" si="19"/>
        <v>1.9834774440367097E-3</v>
      </c>
      <c r="H31" s="73">
        <f t="shared" si="20"/>
        <v>2.8105733990819438E-2</v>
      </c>
      <c r="P31" s="117">
        <v>10</v>
      </c>
      <c r="Q31" s="121">
        <v>186.09956600000001</v>
      </c>
      <c r="R31" s="121">
        <v>17.392726</v>
      </c>
      <c r="S31" s="121">
        <v>8533.1318119999996</v>
      </c>
      <c r="T31" s="114">
        <f t="shared" si="21"/>
        <v>2.180905792856631E-2</v>
      </c>
      <c r="U31" s="114">
        <f t="shared" si="22"/>
        <v>2.0382582131850935E-3</v>
      </c>
      <c r="V31" s="120">
        <f t="shared" si="23"/>
        <v>2.3847316141751403E-2</v>
      </c>
    </row>
    <row r="34" spans="2:22" x14ac:dyDescent="0.25">
      <c r="B34" s="129" t="s">
        <v>147</v>
      </c>
      <c r="C34" s="122"/>
      <c r="D34" s="122"/>
      <c r="E34" s="122"/>
      <c r="F34" s="122"/>
      <c r="G34" s="122"/>
      <c r="H34" s="122"/>
      <c r="P34" s="116" t="s">
        <v>147</v>
      </c>
    </row>
    <row r="35" spans="2:22" ht="75" x14ac:dyDescent="0.25">
      <c r="B35" s="21" t="s">
        <v>48</v>
      </c>
      <c r="C35" s="31" t="s">
        <v>139</v>
      </c>
      <c r="D35" s="31" t="s">
        <v>143</v>
      </c>
      <c r="E35" s="31" t="s">
        <v>140</v>
      </c>
      <c r="F35" s="31" t="s">
        <v>141</v>
      </c>
      <c r="G35" s="31" t="s">
        <v>144</v>
      </c>
      <c r="H35" s="31" t="s">
        <v>145</v>
      </c>
      <c r="P35" s="117" t="s">
        <v>48</v>
      </c>
      <c r="Q35" s="52" t="s">
        <v>139</v>
      </c>
      <c r="R35" s="52" t="s">
        <v>143</v>
      </c>
      <c r="S35" s="52" t="s">
        <v>140</v>
      </c>
      <c r="T35" s="52" t="s">
        <v>141</v>
      </c>
      <c r="U35" s="52" t="s">
        <v>144</v>
      </c>
      <c r="V35" s="52" t="s">
        <v>145</v>
      </c>
    </row>
    <row r="36" spans="2:22" x14ac:dyDescent="0.25">
      <c r="B36" s="21">
        <v>1</v>
      </c>
      <c r="C36" s="131">
        <v>10.278343</v>
      </c>
      <c r="D36" s="131">
        <v>65.620991000000004</v>
      </c>
      <c r="E36" s="131">
        <v>1568.063157</v>
      </c>
      <c r="F36" s="124">
        <f>C36/E36</f>
        <v>6.5548016698921772E-3</v>
      </c>
      <c r="G36" s="124">
        <f>D36/E36</f>
        <v>4.1848436210659597E-2</v>
      </c>
      <c r="H36" s="73">
        <f>SUM(F36:G36)</f>
        <v>4.8403237880551772E-2</v>
      </c>
      <c r="P36" s="117">
        <v>1</v>
      </c>
      <c r="Q36" s="121">
        <v>12.118584</v>
      </c>
      <c r="R36" s="121">
        <v>70.203418999999997</v>
      </c>
      <c r="S36" s="121">
        <v>1896.880883</v>
      </c>
      <c r="T36" s="114">
        <f>Q36/S36</f>
        <v>6.3886900377391805E-3</v>
      </c>
      <c r="U36" s="114">
        <f>R36/S36</f>
        <v>3.7009924887307748E-2</v>
      </c>
      <c r="V36" s="120">
        <f>SUM(T36:U36)</f>
        <v>4.339861492504693E-2</v>
      </c>
    </row>
    <row r="37" spans="2:22" x14ac:dyDescent="0.25">
      <c r="B37" s="21">
        <v>2</v>
      </c>
      <c r="C37" s="131">
        <v>19.460961999999999</v>
      </c>
      <c r="D37" s="131">
        <v>69.300094999999999</v>
      </c>
      <c r="E37" s="131">
        <v>2109.5514939999998</v>
      </c>
      <c r="F37" s="124">
        <f t="shared" ref="F37:F45" si="24">C37/E37</f>
        <v>9.2251656597864499E-3</v>
      </c>
      <c r="G37" s="124">
        <f t="shared" ref="G37:G45" si="25">D37/E37</f>
        <v>3.285062971778778E-2</v>
      </c>
      <c r="H37" s="73">
        <f t="shared" ref="H37:H45" si="26">SUM(F37:G37)</f>
        <v>4.2075795377574228E-2</v>
      </c>
      <c r="P37" s="117">
        <v>2</v>
      </c>
      <c r="Q37" s="121">
        <v>21.093558999999999</v>
      </c>
      <c r="R37" s="121">
        <v>73.652474999999995</v>
      </c>
      <c r="S37" s="121">
        <v>2470.0440370000001</v>
      </c>
      <c r="T37" s="114">
        <f t="shared" ref="T37:T45" si="27">Q37/S37</f>
        <v>8.5397501761220618E-3</v>
      </c>
      <c r="U37" s="114">
        <f t="shared" ref="U37:U45" si="28">R37/S37</f>
        <v>2.9818284166890741E-2</v>
      </c>
      <c r="V37" s="120">
        <f t="shared" ref="V37:V45" si="29">SUM(T37:U37)</f>
        <v>3.8358034343012805E-2</v>
      </c>
    </row>
    <row r="38" spans="2:22" x14ac:dyDescent="0.25">
      <c r="B38" s="21">
        <v>3</v>
      </c>
      <c r="C38" s="131">
        <v>24.051983</v>
      </c>
      <c r="D38" s="131">
        <v>71.842422999999997</v>
      </c>
      <c r="E38" s="131">
        <v>2453.1064710000001</v>
      </c>
      <c r="F38" s="124">
        <f t="shared" si="24"/>
        <v>9.8047040698544547E-3</v>
      </c>
      <c r="G38" s="124">
        <f t="shared" si="25"/>
        <v>2.9286304467132929E-2</v>
      </c>
      <c r="H38" s="73">
        <f t="shared" si="26"/>
        <v>3.9091008536987382E-2</v>
      </c>
      <c r="P38" s="117">
        <v>3</v>
      </c>
      <c r="Q38" s="121">
        <v>25.747468999999999</v>
      </c>
      <c r="R38" s="121">
        <v>73.899305999999996</v>
      </c>
      <c r="S38" s="121">
        <v>2830.8115939999998</v>
      </c>
      <c r="T38" s="114">
        <f t="shared" si="27"/>
        <v>9.0954371723546076E-3</v>
      </c>
      <c r="U38" s="114">
        <f t="shared" si="28"/>
        <v>2.6105342424282866E-2</v>
      </c>
      <c r="V38" s="120">
        <f t="shared" si="29"/>
        <v>3.5200779596637477E-2</v>
      </c>
    </row>
    <row r="39" spans="2:22" x14ac:dyDescent="0.25">
      <c r="B39" s="21">
        <v>4</v>
      </c>
      <c r="C39" s="131">
        <v>28.915244999999999</v>
      </c>
      <c r="D39" s="131">
        <v>73.892593000000005</v>
      </c>
      <c r="E39" s="131">
        <v>2765.1788240000001</v>
      </c>
      <c r="F39" s="124">
        <f t="shared" si="24"/>
        <v>1.0456916836276191E-2</v>
      </c>
      <c r="G39" s="124">
        <f t="shared" si="25"/>
        <v>2.6722536842340581E-2</v>
      </c>
      <c r="H39" s="73">
        <f t="shared" si="26"/>
        <v>3.7179453678616775E-2</v>
      </c>
      <c r="P39" s="117">
        <v>4</v>
      </c>
      <c r="Q39" s="121">
        <v>31.039791999999998</v>
      </c>
      <c r="R39" s="121">
        <v>75.638812999999999</v>
      </c>
      <c r="S39" s="121">
        <v>3160.261508</v>
      </c>
      <c r="T39" s="114">
        <f t="shared" si="27"/>
        <v>9.8219061686587485E-3</v>
      </c>
      <c r="U39" s="114">
        <f t="shared" si="28"/>
        <v>2.3934352523841834E-2</v>
      </c>
      <c r="V39" s="120">
        <f t="shared" si="29"/>
        <v>3.3756258692500582E-2</v>
      </c>
    </row>
    <row r="40" spans="2:22" x14ac:dyDescent="0.25">
      <c r="B40" s="21">
        <v>5</v>
      </c>
      <c r="C40" s="131">
        <v>34.239857000000001</v>
      </c>
      <c r="D40" s="131">
        <v>77.412862000000004</v>
      </c>
      <c r="E40" s="131">
        <v>3091.0584570000001</v>
      </c>
      <c r="F40" s="124">
        <f t="shared" si="24"/>
        <v>1.1077065502420552E-2</v>
      </c>
      <c r="G40" s="124">
        <f t="shared" si="25"/>
        <v>2.5044127465364205E-2</v>
      </c>
      <c r="H40" s="73">
        <f t="shared" si="26"/>
        <v>3.6121192967784758E-2</v>
      </c>
      <c r="P40" s="117">
        <v>5</v>
      </c>
      <c r="Q40" s="121">
        <v>34.036113999999998</v>
      </c>
      <c r="R40" s="121">
        <v>74.699001999999993</v>
      </c>
      <c r="S40" s="121">
        <v>3494.5811060000001</v>
      </c>
      <c r="T40" s="114">
        <f t="shared" si="27"/>
        <v>9.739683517879124E-3</v>
      </c>
      <c r="U40" s="114">
        <f t="shared" si="28"/>
        <v>2.137566699246041E-2</v>
      </c>
      <c r="V40" s="120">
        <f t="shared" si="29"/>
        <v>3.1115350510339534E-2</v>
      </c>
    </row>
    <row r="41" spans="2:22" x14ac:dyDescent="0.25">
      <c r="B41" s="21">
        <v>6</v>
      </c>
      <c r="C41" s="131">
        <v>39.415235000000003</v>
      </c>
      <c r="D41" s="131">
        <v>77.849708000000007</v>
      </c>
      <c r="E41" s="131">
        <v>3449.5935589999999</v>
      </c>
      <c r="F41" s="124">
        <f t="shared" si="24"/>
        <v>1.1426051888682809E-2</v>
      </c>
      <c r="G41" s="124">
        <f t="shared" si="25"/>
        <v>2.2567791442238139E-2</v>
      </c>
      <c r="H41" s="73">
        <f t="shared" si="26"/>
        <v>3.3993843330920946E-2</v>
      </c>
      <c r="P41" s="117">
        <v>6</v>
      </c>
      <c r="Q41" s="121">
        <v>39.509022999999999</v>
      </c>
      <c r="R41" s="121">
        <v>75.312849999999997</v>
      </c>
      <c r="S41" s="121">
        <v>3861.3132220000002</v>
      </c>
      <c r="T41" s="114">
        <f t="shared" si="27"/>
        <v>1.0232017121764591E-2</v>
      </c>
      <c r="U41" s="114">
        <f t="shared" si="28"/>
        <v>1.9504465364503908E-2</v>
      </c>
      <c r="V41" s="120">
        <f t="shared" si="29"/>
        <v>2.9736482486268499E-2</v>
      </c>
    </row>
    <row r="42" spans="2:22" x14ac:dyDescent="0.25">
      <c r="B42" s="21">
        <v>7</v>
      </c>
      <c r="C42" s="131">
        <v>46.146605999999998</v>
      </c>
      <c r="D42" s="131">
        <v>77.357857999999993</v>
      </c>
      <c r="E42" s="131">
        <v>3880.4986690000001</v>
      </c>
      <c r="F42" s="124">
        <f t="shared" si="24"/>
        <v>1.1891926769270591E-2</v>
      </c>
      <c r="G42" s="124">
        <f t="shared" si="25"/>
        <v>1.9935030159393154E-2</v>
      </c>
      <c r="H42" s="73">
        <f t="shared" si="26"/>
        <v>3.1826956928663747E-2</v>
      </c>
      <c r="P42" s="117">
        <v>7</v>
      </c>
      <c r="Q42" s="121">
        <v>45.395282999999999</v>
      </c>
      <c r="R42" s="121">
        <v>78.019300999999999</v>
      </c>
      <c r="S42" s="121">
        <v>4299.1479840000002</v>
      </c>
      <c r="T42" s="114">
        <f t="shared" si="27"/>
        <v>1.0559134779483319E-2</v>
      </c>
      <c r="U42" s="114">
        <f t="shared" si="28"/>
        <v>1.8147619316748784E-2</v>
      </c>
      <c r="V42" s="120">
        <f t="shared" si="29"/>
        <v>2.8706754096232103E-2</v>
      </c>
    </row>
    <row r="43" spans="2:22" x14ac:dyDescent="0.25">
      <c r="B43" s="21">
        <v>8</v>
      </c>
      <c r="C43" s="131">
        <v>56.373967999999998</v>
      </c>
      <c r="D43" s="131">
        <v>81.645857000000007</v>
      </c>
      <c r="E43" s="131">
        <v>4450.5974930000002</v>
      </c>
      <c r="F43" s="124">
        <f t="shared" si="24"/>
        <v>1.2666606694644087E-2</v>
      </c>
      <c r="G43" s="124">
        <f t="shared" si="25"/>
        <v>1.834492045807657E-2</v>
      </c>
      <c r="H43" s="73">
        <f t="shared" si="26"/>
        <v>3.101152715272066E-2</v>
      </c>
      <c r="P43" s="117">
        <v>8</v>
      </c>
      <c r="Q43" s="121">
        <v>50.621357000000003</v>
      </c>
      <c r="R43" s="121">
        <v>80.150130000000004</v>
      </c>
      <c r="S43" s="121">
        <v>4875.4919399999999</v>
      </c>
      <c r="T43" s="114">
        <f t="shared" si="27"/>
        <v>1.038282036417437E-2</v>
      </c>
      <c r="U43" s="114">
        <f t="shared" si="28"/>
        <v>1.6439393395859047E-2</v>
      </c>
      <c r="V43" s="120">
        <f t="shared" si="29"/>
        <v>2.6822213760033416E-2</v>
      </c>
    </row>
    <row r="44" spans="2:22" x14ac:dyDescent="0.25">
      <c r="B44" s="21">
        <v>9</v>
      </c>
      <c r="C44" s="131">
        <v>66.549785</v>
      </c>
      <c r="D44" s="131">
        <v>80.206191000000004</v>
      </c>
      <c r="E44" s="131">
        <v>5322.9268549999997</v>
      </c>
      <c r="F44" s="124">
        <f t="shared" si="24"/>
        <v>1.2502479709539424E-2</v>
      </c>
      <c r="G44" s="124">
        <f t="shared" si="25"/>
        <v>1.5068061836066694E-2</v>
      </c>
      <c r="H44" s="73">
        <f t="shared" si="26"/>
        <v>2.757054154560612E-2</v>
      </c>
      <c r="P44" s="117">
        <v>9</v>
      </c>
      <c r="Q44" s="121">
        <v>59.932913999999997</v>
      </c>
      <c r="R44" s="121">
        <v>80.938804000000005</v>
      </c>
      <c r="S44" s="121">
        <v>5735.450425</v>
      </c>
      <c r="T44" s="114">
        <f t="shared" si="27"/>
        <v>1.0449556627455288E-2</v>
      </c>
      <c r="U44" s="114">
        <f t="shared" si="28"/>
        <v>1.4112022248017253E-2</v>
      </c>
      <c r="V44" s="120">
        <f t="shared" si="29"/>
        <v>2.4561578875472542E-2</v>
      </c>
    </row>
    <row r="45" spans="2:22" x14ac:dyDescent="0.25">
      <c r="B45" s="21">
        <v>10</v>
      </c>
      <c r="C45" s="131">
        <v>89.091600999999997</v>
      </c>
      <c r="D45" s="131">
        <v>83.025986000000003</v>
      </c>
      <c r="E45" s="131">
        <v>8186.4913909999996</v>
      </c>
      <c r="F45" s="124">
        <f t="shared" si="24"/>
        <v>1.0882757550804343E-2</v>
      </c>
      <c r="G45" s="124">
        <f t="shared" si="25"/>
        <v>1.0141827803212064E-2</v>
      </c>
      <c r="H45" s="73">
        <f t="shared" si="26"/>
        <v>2.1024585354016405E-2</v>
      </c>
      <c r="P45" s="117">
        <v>10</v>
      </c>
      <c r="Q45" s="121">
        <v>78.002784000000005</v>
      </c>
      <c r="R45" s="121">
        <v>81.063309000000004</v>
      </c>
      <c r="S45" s="121">
        <v>8384.3790040000004</v>
      </c>
      <c r="T45" s="114">
        <f t="shared" si="27"/>
        <v>9.30334661192995E-3</v>
      </c>
      <c r="U45" s="114">
        <f t="shared" si="28"/>
        <v>9.6683736459583364E-3</v>
      </c>
      <c r="V45" s="120">
        <f t="shared" si="29"/>
        <v>1.8971720257888285E-2</v>
      </c>
    </row>
    <row r="47" spans="2:22" x14ac:dyDescent="0.25">
      <c r="P47" s="116"/>
    </row>
    <row r="48" spans="2:22" x14ac:dyDescent="0.25">
      <c r="B48" s="129" t="s">
        <v>151</v>
      </c>
      <c r="P48" s="116" t="s">
        <v>151</v>
      </c>
      <c r="Q48" s="42"/>
      <c r="R48" s="42"/>
      <c r="S48" s="42"/>
      <c r="T48" s="42"/>
      <c r="U48" s="42"/>
      <c r="V48" s="42"/>
    </row>
    <row r="49" spans="2:22" ht="75" x14ac:dyDescent="0.25">
      <c r="B49" s="21" t="s">
        <v>48</v>
      </c>
      <c r="C49" s="31" t="s">
        <v>139</v>
      </c>
      <c r="D49" s="31" t="s">
        <v>143</v>
      </c>
      <c r="E49" s="31" t="s">
        <v>140</v>
      </c>
      <c r="F49" s="31" t="s">
        <v>141</v>
      </c>
      <c r="G49" s="31" t="s">
        <v>144</v>
      </c>
      <c r="H49" s="31" t="s">
        <v>145</v>
      </c>
      <c r="P49" s="117" t="s">
        <v>48</v>
      </c>
      <c r="Q49" s="52" t="s">
        <v>139</v>
      </c>
      <c r="R49" s="52" t="s">
        <v>143</v>
      </c>
      <c r="S49" s="52" t="s">
        <v>140</v>
      </c>
      <c r="T49" s="52" t="s">
        <v>141</v>
      </c>
      <c r="U49" s="52" t="s">
        <v>144</v>
      </c>
      <c r="V49" s="52" t="s">
        <v>145</v>
      </c>
    </row>
    <row r="50" spans="2:22" x14ac:dyDescent="0.25">
      <c r="B50" s="21">
        <v>1</v>
      </c>
      <c r="C50" s="131">
        <v>25.495764999999999</v>
      </c>
      <c r="D50" s="131">
        <v>57.292254</v>
      </c>
      <c r="E50" s="131">
        <v>1580.8620490000001</v>
      </c>
      <c r="F50" s="124">
        <f>C50/E50</f>
        <v>1.6127760810076854E-2</v>
      </c>
      <c r="G50" s="124">
        <f>D50/E50</f>
        <v>3.6241147060390971E-2</v>
      </c>
      <c r="H50" s="73">
        <f>SUM(F50:G50)</f>
        <v>5.2368907870467829E-2</v>
      </c>
      <c r="P50" s="117">
        <v>1</v>
      </c>
      <c r="Q50" s="121">
        <v>28.883175999999999</v>
      </c>
      <c r="R50" s="121">
        <v>59.328574000000003</v>
      </c>
      <c r="S50" s="121">
        <v>1913.020923</v>
      </c>
      <c r="T50" s="114">
        <f>Q50/S50</f>
        <v>1.5098201829755941E-2</v>
      </c>
      <c r="U50" s="114">
        <f>R50/S50</f>
        <v>3.1013029333187277E-2</v>
      </c>
      <c r="V50" s="120">
        <f>SUM(T50:U50)</f>
        <v>4.6111231162943217E-2</v>
      </c>
    </row>
    <row r="51" spans="2:22" x14ac:dyDescent="0.25">
      <c r="B51" s="21">
        <v>2</v>
      </c>
      <c r="C51" s="131">
        <v>43.900371</v>
      </c>
      <c r="D51" s="131">
        <v>56.549031999999997</v>
      </c>
      <c r="E51" s="131">
        <v>2112.1879869999998</v>
      </c>
      <c r="F51" s="124">
        <f t="shared" ref="F51:F59" si="30">C51/E51</f>
        <v>2.0784310520747227E-2</v>
      </c>
      <c r="G51" s="124">
        <f t="shared" ref="G51:G59" si="31">D51/E51</f>
        <v>2.677272683494341E-2</v>
      </c>
      <c r="H51" s="73">
        <f t="shared" ref="H51:H59" si="32">SUM(F51:G51)</f>
        <v>4.755703735569064E-2</v>
      </c>
      <c r="P51" s="117">
        <v>2</v>
      </c>
      <c r="Q51" s="121">
        <v>46.900078999999998</v>
      </c>
      <c r="R51" s="121">
        <v>56.291006000000003</v>
      </c>
      <c r="S51" s="121">
        <v>2473.5858159999998</v>
      </c>
      <c r="T51" s="114">
        <f t="shared" ref="T51:T59" si="33">Q51/S51</f>
        <v>1.8960360581239684E-2</v>
      </c>
      <c r="U51" s="114">
        <f t="shared" ref="U51:U59" si="34">R51/S51</f>
        <v>2.2756843783583537E-2</v>
      </c>
      <c r="V51" s="120">
        <f t="shared" ref="V51:V59" si="35">SUM(T51:U51)</f>
        <v>4.1717204364823221E-2</v>
      </c>
    </row>
    <row r="52" spans="2:22" x14ac:dyDescent="0.25">
      <c r="B52" s="21">
        <v>3</v>
      </c>
      <c r="C52" s="131">
        <v>57.187992999999999</v>
      </c>
      <c r="D52" s="131">
        <v>54.917064000000003</v>
      </c>
      <c r="E52" s="131">
        <v>2453.8549130000001</v>
      </c>
      <c r="F52" s="124">
        <f t="shared" si="30"/>
        <v>2.3305368502852475E-2</v>
      </c>
      <c r="G52" s="124">
        <f t="shared" si="31"/>
        <v>2.2379914847068222E-2</v>
      </c>
      <c r="H52" s="73">
        <f t="shared" si="32"/>
        <v>4.5685283349920697E-2</v>
      </c>
      <c r="P52" s="117">
        <v>3</v>
      </c>
      <c r="Q52" s="121">
        <v>58.006681999999998</v>
      </c>
      <c r="R52" s="121">
        <v>52.920149000000002</v>
      </c>
      <c r="S52" s="121">
        <v>2833.0903560000002</v>
      </c>
      <c r="T52" s="114">
        <f t="shared" si="33"/>
        <v>2.0474702431269719E-2</v>
      </c>
      <c r="U52" s="114">
        <f t="shared" si="34"/>
        <v>1.867930152242557E-2</v>
      </c>
      <c r="V52" s="120">
        <f t="shared" si="35"/>
        <v>3.9154003953695289E-2</v>
      </c>
    </row>
    <row r="53" spans="2:22" x14ac:dyDescent="0.25">
      <c r="B53" s="21">
        <v>4</v>
      </c>
      <c r="C53" s="131">
        <v>66.352299000000002</v>
      </c>
      <c r="D53" s="131">
        <v>54.201208999999999</v>
      </c>
      <c r="E53" s="131">
        <v>2768.1821169999998</v>
      </c>
      <c r="F53" s="124">
        <f t="shared" si="30"/>
        <v>2.396962923519963E-2</v>
      </c>
      <c r="G53" s="124">
        <f t="shared" si="31"/>
        <v>1.958007338720193E-2</v>
      </c>
      <c r="H53" s="73">
        <f t="shared" si="32"/>
        <v>4.3549702622401557E-2</v>
      </c>
      <c r="P53" s="117">
        <v>4</v>
      </c>
      <c r="Q53" s="121">
        <v>68.730316999999999</v>
      </c>
      <c r="R53" s="121">
        <v>51.186976999999999</v>
      </c>
      <c r="S53" s="121">
        <v>3162.0258690000001</v>
      </c>
      <c r="T53" s="114">
        <f t="shared" si="33"/>
        <v>2.1736165309025814E-2</v>
      </c>
      <c r="U53" s="114">
        <f t="shared" si="34"/>
        <v>1.6188032331369898E-2</v>
      </c>
      <c r="V53" s="120">
        <f t="shared" si="35"/>
        <v>3.7924197640395715E-2</v>
      </c>
    </row>
    <row r="54" spans="2:22" x14ac:dyDescent="0.25">
      <c r="B54" s="21">
        <v>5</v>
      </c>
      <c r="C54" s="131">
        <v>80.438293999999999</v>
      </c>
      <c r="D54" s="131">
        <v>52.272941000000003</v>
      </c>
      <c r="E54" s="131">
        <v>3094.2754239999999</v>
      </c>
      <c r="F54" s="124">
        <f t="shared" si="30"/>
        <v>2.5995841668165608E-2</v>
      </c>
      <c r="G54" s="124">
        <f t="shared" si="31"/>
        <v>1.6893435081621229E-2</v>
      </c>
      <c r="H54" s="73">
        <f t="shared" si="32"/>
        <v>4.2889276749786834E-2</v>
      </c>
      <c r="P54" s="117">
        <v>5</v>
      </c>
      <c r="Q54" s="121">
        <v>75.689807000000002</v>
      </c>
      <c r="R54" s="121">
        <v>48.556170000000002</v>
      </c>
      <c r="S54" s="121">
        <v>3497.7343609999998</v>
      </c>
      <c r="T54" s="114">
        <f t="shared" si="33"/>
        <v>2.1639667049604173E-2</v>
      </c>
      <c r="U54" s="114">
        <f t="shared" si="34"/>
        <v>1.3882177715210433E-2</v>
      </c>
      <c r="V54" s="120">
        <f t="shared" si="35"/>
        <v>3.5521844764814604E-2</v>
      </c>
    </row>
    <row r="55" spans="2:22" x14ac:dyDescent="0.25">
      <c r="B55" s="21">
        <v>6</v>
      </c>
      <c r="C55" s="131">
        <v>92.835611</v>
      </c>
      <c r="D55" s="131">
        <v>50.103313</v>
      </c>
      <c r="E55" s="131">
        <v>3454.8575989999999</v>
      </c>
      <c r="F55" s="124">
        <f t="shared" si="30"/>
        <v>2.6871038339429977E-2</v>
      </c>
      <c r="G55" s="124">
        <f t="shared" si="31"/>
        <v>1.450228021395217E-2</v>
      </c>
      <c r="H55" s="73">
        <f t="shared" si="32"/>
        <v>4.1373318553382145E-2</v>
      </c>
      <c r="P55" s="117">
        <v>6</v>
      </c>
      <c r="Q55" s="121">
        <v>87.436113000000006</v>
      </c>
      <c r="R55" s="121">
        <v>45.071590999999998</v>
      </c>
      <c r="S55" s="121">
        <v>3866.1209739999999</v>
      </c>
      <c r="T55" s="114">
        <f t="shared" si="33"/>
        <v>2.2615979579536045E-2</v>
      </c>
      <c r="U55" s="114">
        <f t="shared" si="34"/>
        <v>1.1658091224540146E-2</v>
      </c>
      <c r="V55" s="120">
        <f t="shared" si="35"/>
        <v>3.4274070804076191E-2</v>
      </c>
    </row>
    <row r="56" spans="2:22" x14ac:dyDescent="0.25">
      <c r="B56" s="21">
        <v>7</v>
      </c>
      <c r="C56" s="131">
        <v>107.55224200000001</v>
      </c>
      <c r="D56" s="131">
        <v>45.755364</v>
      </c>
      <c r="E56" s="131">
        <v>3887.4253210000002</v>
      </c>
      <c r="F56" s="124">
        <f t="shared" si="30"/>
        <v>2.7666703053817968E-2</v>
      </c>
      <c r="G56" s="124">
        <f t="shared" si="31"/>
        <v>1.1770094656951481E-2</v>
      </c>
      <c r="H56" s="73">
        <f t="shared" si="32"/>
        <v>3.9436797710769453E-2</v>
      </c>
      <c r="P56" s="117">
        <v>7</v>
      </c>
      <c r="Q56" s="121">
        <v>100.216234</v>
      </c>
      <c r="R56" s="121">
        <v>42.239995999999998</v>
      </c>
      <c r="S56" s="121">
        <v>4303.9263469999996</v>
      </c>
      <c r="T56" s="114">
        <f t="shared" si="33"/>
        <v>2.328483945127326E-2</v>
      </c>
      <c r="U56" s="114">
        <f t="shared" si="34"/>
        <v>9.8142934136042741E-3</v>
      </c>
      <c r="V56" s="120">
        <f t="shared" si="35"/>
        <v>3.3099132864877534E-2</v>
      </c>
    </row>
    <row r="57" spans="2:22" x14ac:dyDescent="0.25">
      <c r="B57" s="21">
        <v>8</v>
      </c>
      <c r="C57" s="131">
        <v>124.123825</v>
      </c>
      <c r="D57" s="131">
        <v>45.090871</v>
      </c>
      <c r="E57" s="131">
        <v>4458.3948790000004</v>
      </c>
      <c r="F57" s="124">
        <f t="shared" si="30"/>
        <v>2.7840473616334419E-2</v>
      </c>
      <c r="G57" s="124">
        <f t="shared" si="31"/>
        <v>1.0113700608348469E-2</v>
      </c>
      <c r="H57" s="73">
        <f t="shared" si="32"/>
        <v>3.7954174224682891E-2</v>
      </c>
      <c r="P57" s="117">
        <v>8</v>
      </c>
      <c r="Q57" s="121">
        <v>112.534773</v>
      </c>
      <c r="R57" s="121">
        <v>39.821100999999999</v>
      </c>
      <c r="S57" s="121">
        <v>4886.0805250000003</v>
      </c>
      <c r="T57" s="114">
        <f t="shared" si="33"/>
        <v>2.3031706584491871E-2</v>
      </c>
      <c r="U57" s="114">
        <f t="shared" si="34"/>
        <v>8.1499068212757299E-3</v>
      </c>
      <c r="V57" s="120">
        <f t="shared" si="35"/>
        <v>3.11816134057676E-2</v>
      </c>
    </row>
    <row r="58" spans="2:22" x14ac:dyDescent="0.25">
      <c r="B58" s="21">
        <v>9</v>
      </c>
      <c r="C58" s="131">
        <v>145.937378</v>
      </c>
      <c r="D58" s="131">
        <v>38.116233000000001</v>
      </c>
      <c r="E58" s="131">
        <v>5356.0959979999998</v>
      </c>
      <c r="F58" s="124">
        <f t="shared" si="30"/>
        <v>2.7246968324409034E-2</v>
      </c>
      <c r="G58" s="124">
        <f t="shared" si="31"/>
        <v>7.1164208061679337E-3</v>
      </c>
      <c r="H58" s="73">
        <f t="shared" si="32"/>
        <v>3.4363389130576967E-2</v>
      </c>
      <c r="P58" s="117">
        <v>9</v>
      </c>
      <c r="Q58" s="121">
        <v>130.04960299999999</v>
      </c>
      <c r="R58" s="121">
        <v>35.576670999999997</v>
      </c>
      <c r="S58" s="121">
        <v>5762.8993730000002</v>
      </c>
      <c r="T58" s="114">
        <f t="shared" si="33"/>
        <v>2.2566696827867723E-2</v>
      </c>
      <c r="U58" s="114">
        <f t="shared" si="34"/>
        <v>6.1733979195752993E-3</v>
      </c>
      <c r="V58" s="120">
        <f t="shared" si="35"/>
        <v>2.8740094747443021E-2</v>
      </c>
    </row>
    <row r="59" spans="2:22" x14ac:dyDescent="0.25">
      <c r="B59" s="21">
        <v>10</v>
      </c>
      <c r="C59" s="131">
        <v>189.225392</v>
      </c>
      <c r="D59" s="131">
        <v>33.205350000000003</v>
      </c>
      <c r="E59" s="131">
        <v>8423.5449499999995</v>
      </c>
      <c r="F59" s="124">
        <f t="shared" si="30"/>
        <v>2.2463866830793135E-2</v>
      </c>
      <c r="G59" s="124">
        <f t="shared" si="31"/>
        <v>3.9419686363755917E-3</v>
      </c>
      <c r="H59" s="73">
        <f t="shared" si="32"/>
        <v>2.6405835467168726E-2</v>
      </c>
      <c r="P59" s="117">
        <v>10</v>
      </c>
      <c r="Q59" s="121">
        <v>163.46993000000001</v>
      </c>
      <c r="R59" s="121">
        <v>30.721912</v>
      </c>
      <c r="S59" s="121">
        <v>8501.9909970000008</v>
      </c>
      <c r="T59" s="114">
        <f t="shared" si="33"/>
        <v>1.9227252776165223E-2</v>
      </c>
      <c r="U59" s="114">
        <f t="shared" si="34"/>
        <v>3.6134961811698559E-3</v>
      </c>
      <c r="V59" s="120">
        <f t="shared" si="35"/>
        <v>2.284074895733508E-2</v>
      </c>
    </row>
    <row r="60" spans="2:22" x14ac:dyDescent="0.25">
      <c r="P60" s="116"/>
    </row>
    <row r="61" spans="2:22" x14ac:dyDescent="0.25">
      <c r="P61" s="116"/>
    </row>
    <row r="62" spans="2:22" x14ac:dyDescent="0.25">
      <c r="B62" s="129" t="s">
        <v>148</v>
      </c>
      <c r="C62" s="122"/>
      <c r="D62" s="122"/>
      <c r="E62" s="122"/>
      <c r="F62" s="122"/>
      <c r="G62" s="122"/>
      <c r="H62" s="122"/>
      <c r="P62" s="116" t="s">
        <v>148</v>
      </c>
    </row>
    <row r="63" spans="2:22" ht="75" x14ac:dyDescent="0.25">
      <c r="B63" s="21" t="s">
        <v>48</v>
      </c>
      <c r="C63" s="31" t="s">
        <v>139</v>
      </c>
      <c r="D63" s="31" t="s">
        <v>143</v>
      </c>
      <c r="E63" s="31" t="s">
        <v>140</v>
      </c>
      <c r="F63" s="31" t="s">
        <v>141</v>
      </c>
      <c r="G63" s="31" t="s">
        <v>144</v>
      </c>
      <c r="H63" s="31" t="s">
        <v>145</v>
      </c>
      <c r="P63" s="117" t="s">
        <v>48</v>
      </c>
      <c r="Q63" s="52" t="s">
        <v>139</v>
      </c>
      <c r="R63" s="52" t="s">
        <v>143</v>
      </c>
      <c r="S63" s="52" t="s">
        <v>140</v>
      </c>
      <c r="T63" s="52" t="s">
        <v>141</v>
      </c>
      <c r="U63" s="52" t="s">
        <v>144</v>
      </c>
      <c r="V63" s="52" t="s">
        <v>145</v>
      </c>
    </row>
    <row r="64" spans="2:22" x14ac:dyDescent="0.25">
      <c r="B64" s="21">
        <v>1</v>
      </c>
      <c r="C64" s="131">
        <v>147.13599500000001</v>
      </c>
      <c r="D64" s="131">
        <v>5.711964</v>
      </c>
      <c r="E64" s="131">
        <v>2347.928692</v>
      </c>
      <c r="F64" s="124">
        <f>C64/E64</f>
        <v>6.2666296255644557E-2</v>
      </c>
      <c r="G64" s="124">
        <f>D64/E64</f>
        <v>2.4327672384012932E-3</v>
      </c>
      <c r="H64" s="73">
        <f>SUM(F64:G64)</f>
        <v>6.5099063494045845E-2</v>
      </c>
      <c r="P64" s="117">
        <v>1</v>
      </c>
      <c r="Q64" s="121">
        <v>129.72255100000001</v>
      </c>
      <c r="R64" s="121">
        <v>5.7470790000000003</v>
      </c>
      <c r="S64" s="121">
        <v>2785.9223109999998</v>
      </c>
      <c r="T64" s="114">
        <f>Q64/S64</f>
        <v>4.6563592418855507E-2</v>
      </c>
      <c r="U64" s="114">
        <f>R64/S64</f>
        <v>2.0628999514121773E-3</v>
      </c>
      <c r="V64" s="120">
        <f>SUM(T64:U64)</f>
        <v>4.8626492370267685E-2</v>
      </c>
    </row>
    <row r="65" spans="2:22" x14ac:dyDescent="0.25">
      <c r="B65" s="21">
        <v>2</v>
      </c>
      <c r="C65" s="131">
        <v>167.385142</v>
      </c>
      <c r="D65" s="131">
        <v>5.5737839999999998</v>
      </c>
      <c r="E65" s="131">
        <v>3160.8669989999999</v>
      </c>
      <c r="F65" s="124">
        <f t="shared" ref="F65:F73" si="36">C65/E65</f>
        <v>5.2955452429018827E-2</v>
      </c>
      <c r="G65" s="124">
        <f t="shared" ref="G65:G73" si="37">D65/E65</f>
        <v>1.7633718855501899E-3</v>
      </c>
      <c r="H65" s="73">
        <f t="shared" ref="H65:H73" si="38">SUM(F65:G65)</f>
        <v>5.4718824314569016E-2</v>
      </c>
      <c r="P65" s="117">
        <v>2</v>
      </c>
      <c r="Q65" s="121">
        <v>145.328754</v>
      </c>
      <c r="R65" s="121">
        <v>5.2508160000000004</v>
      </c>
      <c r="S65" s="121">
        <v>3689.9228170000001</v>
      </c>
      <c r="T65" s="114">
        <f t="shared" ref="T65:T73" si="39">Q65/S65</f>
        <v>3.9385309993599252E-2</v>
      </c>
      <c r="U65" s="114">
        <f t="shared" ref="U65:U73" si="40">R65/S65</f>
        <v>1.4230151307796312E-3</v>
      </c>
      <c r="V65" s="120">
        <f t="shared" ref="V65:V73" si="41">SUM(T65:U65)</f>
        <v>4.0808325124378882E-2</v>
      </c>
    </row>
    <row r="66" spans="2:22" x14ac:dyDescent="0.25">
      <c r="B66" s="21">
        <v>3</v>
      </c>
      <c r="C66" s="131">
        <v>180.58341100000001</v>
      </c>
      <c r="D66" s="131">
        <v>4.8949249999999997</v>
      </c>
      <c r="E66" s="131">
        <v>3765.5020220000001</v>
      </c>
      <c r="F66" s="124">
        <f t="shared" si="36"/>
        <v>4.7957326790674611E-2</v>
      </c>
      <c r="G66" s="124">
        <f t="shared" si="37"/>
        <v>1.2999395489369889E-3</v>
      </c>
      <c r="H66" s="73">
        <f t="shared" si="38"/>
        <v>4.9257266339611597E-2</v>
      </c>
      <c r="P66" s="117">
        <v>3</v>
      </c>
      <c r="Q66" s="121">
        <v>153.62733</v>
      </c>
      <c r="R66" s="121">
        <v>4.4897479999999996</v>
      </c>
      <c r="S66" s="121">
        <v>4353.6935119999998</v>
      </c>
      <c r="T66" s="114">
        <f t="shared" si="39"/>
        <v>3.5286666270044044E-2</v>
      </c>
      <c r="U66" s="114">
        <f t="shared" si="40"/>
        <v>1.0312503596371669E-3</v>
      </c>
      <c r="V66" s="120">
        <f t="shared" si="41"/>
        <v>3.6317916629681209E-2</v>
      </c>
    </row>
    <row r="67" spans="2:22" x14ac:dyDescent="0.25">
      <c r="B67" s="21">
        <v>4</v>
      </c>
      <c r="C67" s="131">
        <v>187.60967500000001</v>
      </c>
      <c r="D67" s="131">
        <v>4.403429</v>
      </c>
      <c r="E67" s="131">
        <v>4349.751354</v>
      </c>
      <c r="F67" s="124">
        <f t="shared" si="36"/>
        <v>4.3131126294719241E-2</v>
      </c>
      <c r="G67" s="124">
        <f t="shared" si="37"/>
        <v>1.0123403941125597E-3</v>
      </c>
      <c r="H67" s="73">
        <f t="shared" si="38"/>
        <v>4.4143466688831803E-2</v>
      </c>
      <c r="P67" s="117">
        <v>4</v>
      </c>
      <c r="Q67" s="121">
        <v>159.838494</v>
      </c>
      <c r="R67" s="121">
        <v>4.3274299999999997</v>
      </c>
      <c r="S67" s="121">
        <v>4979.1575489999996</v>
      </c>
      <c r="T67" s="114">
        <f t="shared" si="39"/>
        <v>3.2101513645034496E-2</v>
      </c>
      <c r="U67" s="114">
        <f t="shared" si="40"/>
        <v>8.6910887181489344E-4</v>
      </c>
      <c r="V67" s="120">
        <f t="shared" si="41"/>
        <v>3.2970622516849388E-2</v>
      </c>
    </row>
    <row r="68" spans="2:22" x14ac:dyDescent="0.25">
      <c r="B68" s="21">
        <v>5</v>
      </c>
      <c r="C68" s="131">
        <v>196.25339700000001</v>
      </c>
      <c r="D68" s="131">
        <v>3.577699</v>
      </c>
      <c r="E68" s="131">
        <v>4963.8091599999998</v>
      </c>
      <c r="F68" s="124">
        <f t="shared" si="36"/>
        <v>3.9536853789922902E-2</v>
      </c>
      <c r="G68" s="124">
        <f t="shared" si="37"/>
        <v>7.2075675850519607E-4</v>
      </c>
      <c r="H68" s="73">
        <f t="shared" si="38"/>
        <v>4.0257610548428101E-2</v>
      </c>
      <c r="P68" s="117">
        <v>5</v>
      </c>
      <c r="Q68" s="121">
        <v>166.38175100000001</v>
      </c>
      <c r="R68" s="121">
        <v>4.5237360000000004</v>
      </c>
      <c r="S68" s="121">
        <v>5620.4717959999998</v>
      </c>
      <c r="T68" s="114">
        <f t="shared" si="39"/>
        <v>2.9602808632259527E-2</v>
      </c>
      <c r="U68" s="114">
        <f t="shared" si="40"/>
        <v>8.0486766310605294E-4</v>
      </c>
      <c r="V68" s="120">
        <f t="shared" si="41"/>
        <v>3.0407676295365581E-2</v>
      </c>
    </row>
    <row r="69" spans="2:22" x14ac:dyDescent="0.25">
      <c r="B69" s="21">
        <v>6</v>
      </c>
      <c r="C69" s="131">
        <v>208.48792700000001</v>
      </c>
      <c r="D69" s="131">
        <v>3.3860929999999998</v>
      </c>
      <c r="E69" s="131">
        <v>5661.4042520000003</v>
      </c>
      <c r="F69" s="124">
        <f t="shared" si="36"/>
        <v>3.6826186175690889E-2</v>
      </c>
      <c r="G69" s="124">
        <f t="shared" si="37"/>
        <v>5.9810125708719655E-4</v>
      </c>
      <c r="H69" s="73">
        <f t="shared" si="38"/>
        <v>3.7424287432778085E-2</v>
      </c>
      <c r="P69" s="117">
        <v>6</v>
      </c>
      <c r="Q69" s="121">
        <v>173.502431</v>
      </c>
      <c r="R69" s="121">
        <v>3.5214840000000001</v>
      </c>
      <c r="S69" s="121">
        <v>6333.8042539999997</v>
      </c>
      <c r="T69" s="114">
        <f t="shared" si="39"/>
        <v>2.7393083846951487E-2</v>
      </c>
      <c r="U69" s="114">
        <f t="shared" si="40"/>
        <v>5.5598244890123823E-4</v>
      </c>
      <c r="V69" s="120">
        <f t="shared" si="41"/>
        <v>2.7949066295852726E-2</v>
      </c>
    </row>
    <row r="70" spans="2:22" x14ac:dyDescent="0.25">
      <c r="B70" s="21">
        <v>7</v>
      </c>
      <c r="C70" s="131">
        <v>216.06739200000001</v>
      </c>
      <c r="D70" s="131">
        <v>2.797072</v>
      </c>
      <c r="E70" s="131">
        <v>6523.6836210000001</v>
      </c>
      <c r="F70" s="124">
        <f t="shared" si="36"/>
        <v>3.3120458402438518E-2</v>
      </c>
      <c r="G70" s="124">
        <f t="shared" si="37"/>
        <v>4.2875653733361816E-4</v>
      </c>
      <c r="H70" s="73">
        <f t="shared" si="38"/>
        <v>3.3549214939772136E-2</v>
      </c>
      <c r="P70" s="117">
        <v>7</v>
      </c>
      <c r="Q70" s="121">
        <v>182.77905999999999</v>
      </c>
      <c r="R70" s="121">
        <v>3.080743</v>
      </c>
      <c r="S70" s="121">
        <v>7197.8316869999999</v>
      </c>
      <c r="T70" s="114">
        <f t="shared" si="39"/>
        <v>2.5393627963004074E-2</v>
      </c>
      <c r="U70" s="114">
        <f t="shared" si="40"/>
        <v>4.2800986935609072E-4</v>
      </c>
      <c r="V70" s="120">
        <f t="shared" si="41"/>
        <v>2.5821637832360165E-2</v>
      </c>
    </row>
    <row r="71" spans="2:22" x14ac:dyDescent="0.25">
      <c r="B71" s="21">
        <v>8</v>
      </c>
      <c r="C71" s="131">
        <v>228.56998899999999</v>
      </c>
      <c r="D71" s="131">
        <v>1.9187069999999999</v>
      </c>
      <c r="E71" s="131">
        <v>7674.4212729999999</v>
      </c>
      <c r="F71" s="124">
        <f t="shared" si="36"/>
        <v>2.9783351847539372E-2</v>
      </c>
      <c r="G71" s="124">
        <f t="shared" si="37"/>
        <v>2.5001324943554475E-4</v>
      </c>
      <c r="H71" s="73">
        <f t="shared" si="38"/>
        <v>3.0033365096974917E-2</v>
      </c>
      <c r="P71" s="117">
        <v>8</v>
      </c>
      <c r="Q71" s="121">
        <v>189.31530900000001</v>
      </c>
      <c r="R71" s="121">
        <v>2.62269</v>
      </c>
      <c r="S71" s="121">
        <v>8352.1928609999995</v>
      </c>
      <c r="T71" s="114">
        <f t="shared" si="39"/>
        <v>2.2666539452650222E-2</v>
      </c>
      <c r="U71" s="114">
        <f t="shared" si="40"/>
        <v>3.1401214551048909E-4</v>
      </c>
      <c r="V71" s="120">
        <f t="shared" si="41"/>
        <v>2.298055159816071E-2</v>
      </c>
    </row>
    <row r="72" spans="2:22" x14ac:dyDescent="0.25">
      <c r="B72" s="21">
        <v>9</v>
      </c>
      <c r="C72" s="131">
        <v>242.821091</v>
      </c>
      <c r="D72" s="131">
        <v>1.831113</v>
      </c>
      <c r="E72" s="131">
        <v>9577.2365339999997</v>
      </c>
      <c r="F72" s="124">
        <f t="shared" si="36"/>
        <v>2.5353982867392343E-2</v>
      </c>
      <c r="G72" s="124">
        <f t="shared" si="37"/>
        <v>1.9119429634001354E-4</v>
      </c>
      <c r="H72" s="73">
        <f t="shared" si="38"/>
        <v>2.5545177163732356E-2</v>
      </c>
      <c r="P72" s="117">
        <v>9</v>
      </c>
      <c r="Q72" s="121">
        <v>204.89278400000001</v>
      </c>
      <c r="R72" s="121">
        <v>2.1702840000000001</v>
      </c>
      <c r="S72" s="121">
        <v>10129.780500999999</v>
      </c>
      <c r="T72" s="114">
        <f t="shared" si="39"/>
        <v>2.0226774309647998E-2</v>
      </c>
      <c r="U72" s="114">
        <f t="shared" si="40"/>
        <v>2.1424788027595983E-4</v>
      </c>
      <c r="V72" s="120">
        <f t="shared" si="41"/>
        <v>2.0441022189923958E-2</v>
      </c>
    </row>
    <row r="73" spans="2:22" x14ac:dyDescent="0.25">
      <c r="B73" s="21">
        <v>10</v>
      </c>
      <c r="C73" s="131">
        <v>280.60988400000002</v>
      </c>
      <c r="D73" s="131">
        <v>1.336495</v>
      </c>
      <c r="E73" s="131">
        <v>16163.122656</v>
      </c>
      <c r="F73" s="124">
        <f t="shared" si="36"/>
        <v>1.7361118267319051E-2</v>
      </c>
      <c r="G73" s="124">
        <f t="shared" si="37"/>
        <v>8.2687920425071612E-5</v>
      </c>
      <c r="H73" s="73">
        <f t="shared" si="38"/>
        <v>1.7443806187744122E-2</v>
      </c>
      <c r="P73" s="117">
        <v>10</v>
      </c>
      <c r="Q73" s="121">
        <v>234.309888</v>
      </c>
      <c r="R73" s="121">
        <v>2.0329730000000001</v>
      </c>
      <c r="S73" s="121">
        <v>16021.008159000001</v>
      </c>
      <c r="T73" s="114">
        <f t="shared" si="39"/>
        <v>1.4625165013000353E-2</v>
      </c>
      <c r="U73" s="114">
        <f t="shared" si="40"/>
        <v>1.2689419915549774E-4</v>
      </c>
      <c r="V73" s="120">
        <f t="shared" si="41"/>
        <v>1.4752059212155852E-2</v>
      </c>
    </row>
    <row r="76" spans="2:22" x14ac:dyDescent="0.25">
      <c r="B76" s="129" t="s">
        <v>149</v>
      </c>
      <c r="C76" s="122"/>
      <c r="D76" s="122"/>
      <c r="E76" s="122"/>
      <c r="F76" s="122"/>
      <c r="G76" s="122"/>
      <c r="H76" s="122"/>
      <c r="P76" s="116" t="s">
        <v>149</v>
      </c>
    </row>
    <row r="77" spans="2:22" ht="75" x14ac:dyDescent="0.25">
      <c r="B77" s="21" t="s">
        <v>48</v>
      </c>
      <c r="C77" s="31" t="s">
        <v>139</v>
      </c>
      <c r="D77" s="31" t="s">
        <v>143</v>
      </c>
      <c r="E77" s="31" t="s">
        <v>140</v>
      </c>
      <c r="F77" s="31" t="s">
        <v>141</v>
      </c>
      <c r="G77" s="31" t="s">
        <v>144</v>
      </c>
      <c r="H77" s="31" t="s">
        <v>145</v>
      </c>
      <c r="P77" s="117" t="s">
        <v>48</v>
      </c>
      <c r="Q77" s="52" t="s">
        <v>139</v>
      </c>
      <c r="R77" s="52" t="s">
        <v>143</v>
      </c>
      <c r="S77" s="52" t="s">
        <v>140</v>
      </c>
      <c r="T77" s="52" t="s">
        <v>141</v>
      </c>
      <c r="U77" s="52" t="s">
        <v>144</v>
      </c>
      <c r="V77" s="52" t="s">
        <v>145</v>
      </c>
    </row>
    <row r="78" spans="2:22" x14ac:dyDescent="0.25">
      <c r="B78" s="21">
        <v>1</v>
      </c>
      <c r="C78" s="131">
        <v>33.249865999999997</v>
      </c>
      <c r="D78" s="131">
        <v>80.169621000000006</v>
      </c>
      <c r="E78" s="131">
        <v>2219.640038</v>
      </c>
      <c r="F78" s="124">
        <f t="shared" ref="F78:F87" si="42">C78/E78</f>
        <v>1.4979846024925596E-2</v>
      </c>
      <c r="G78" s="124">
        <f t="shared" ref="G78:G87" si="43">D78/E78</f>
        <v>3.6118298294995889E-2</v>
      </c>
      <c r="H78" s="73">
        <f t="shared" ref="H78:H87" si="44">SUM(F78:G78)</f>
        <v>5.1098144319921483E-2</v>
      </c>
      <c r="P78" s="117">
        <v>1</v>
      </c>
      <c r="Q78" s="121">
        <v>34.850558999999997</v>
      </c>
      <c r="R78" s="121">
        <v>86.763270000000006</v>
      </c>
      <c r="S78" s="121">
        <v>2631.1449240000002</v>
      </c>
      <c r="T78" s="114">
        <f t="shared" ref="T78" si="45">Q78/S78</f>
        <v>1.3245396968487167E-2</v>
      </c>
      <c r="U78" s="114">
        <f t="shared" ref="U78" si="46">R78/S78</f>
        <v>3.297548120918329E-2</v>
      </c>
      <c r="V78" s="120">
        <f t="shared" ref="V78" si="47">SUM(T78:U78)</f>
        <v>4.6220878177670455E-2</v>
      </c>
    </row>
    <row r="79" spans="2:22" x14ac:dyDescent="0.25">
      <c r="B79" s="21">
        <v>2</v>
      </c>
      <c r="C79" s="131">
        <v>55.801884000000001</v>
      </c>
      <c r="D79" s="131">
        <v>83.993024000000005</v>
      </c>
      <c r="E79" s="131">
        <v>3137.5685370000001</v>
      </c>
      <c r="F79" s="124">
        <f t="shared" si="42"/>
        <v>1.778507253051282E-2</v>
      </c>
      <c r="G79" s="124">
        <f t="shared" si="43"/>
        <v>2.677010016179927E-2</v>
      </c>
      <c r="H79" s="73">
        <f t="shared" si="44"/>
        <v>4.4555172692312087E-2</v>
      </c>
      <c r="P79" s="117">
        <v>2</v>
      </c>
      <c r="Q79" s="121">
        <v>43.988126000000001</v>
      </c>
      <c r="R79" s="121">
        <v>98.130481000000003</v>
      </c>
      <c r="S79" s="121">
        <v>3664.2214720000002</v>
      </c>
      <c r="T79" s="114">
        <f t="shared" ref="T79:T87" si="48">Q79/S79</f>
        <v>1.2004767270792305E-2</v>
      </c>
      <c r="U79" s="114">
        <f t="shared" ref="U79:U87" si="49">R79/S79</f>
        <v>2.6780717745873196E-2</v>
      </c>
      <c r="V79" s="120">
        <f t="shared" ref="V79:V87" si="50">SUM(T79:U79)</f>
        <v>3.8785485016665497E-2</v>
      </c>
    </row>
    <row r="80" spans="2:22" x14ac:dyDescent="0.25">
      <c r="B80" s="21">
        <v>3</v>
      </c>
      <c r="C80" s="131">
        <v>71.317735999999996</v>
      </c>
      <c r="D80" s="131">
        <v>81.380763999999999</v>
      </c>
      <c r="E80" s="131">
        <v>3739.2050170000002</v>
      </c>
      <c r="F80" s="124">
        <f t="shared" si="42"/>
        <v>1.9072967562826736E-2</v>
      </c>
      <c r="G80" s="124">
        <f t="shared" si="43"/>
        <v>2.1764188812864977E-2</v>
      </c>
      <c r="H80" s="73">
        <f t="shared" si="44"/>
        <v>4.0837156375691713E-2</v>
      </c>
      <c r="P80" s="117">
        <v>3</v>
      </c>
      <c r="Q80" s="121">
        <v>55.917856</v>
      </c>
      <c r="R80" s="121">
        <v>97.271000999999998</v>
      </c>
      <c r="S80" s="121">
        <v>4348.3012879999997</v>
      </c>
      <c r="T80" s="114">
        <f t="shared" si="48"/>
        <v>1.2859701362993503E-2</v>
      </c>
      <c r="U80" s="114">
        <f t="shared" si="49"/>
        <v>2.2369885285649049E-2</v>
      </c>
      <c r="V80" s="120">
        <f t="shared" si="50"/>
        <v>3.522958664864255E-2</v>
      </c>
    </row>
    <row r="81" spans="2:22" x14ac:dyDescent="0.25">
      <c r="B81" s="21">
        <v>4</v>
      </c>
      <c r="C81" s="131">
        <v>75.697873999999999</v>
      </c>
      <c r="D81" s="131">
        <v>91.978074000000007</v>
      </c>
      <c r="E81" s="131">
        <v>4321.6532010000001</v>
      </c>
      <c r="F81" s="124">
        <f t="shared" si="42"/>
        <v>1.7515952918777482E-2</v>
      </c>
      <c r="G81" s="124">
        <f t="shared" si="43"/>
        <v>2.1283076110484047E-2</v>
      </c>
      <c r="H81" s="73">
        <f t="shared" si="44"/>
        <v>3.8799029029261529E-2</v>
      </c>
      <c r="P81" s="117">
        <v>4</v>
      </c>
      <c r="Q81" s="121">
        <v>68.923271</v>
      </c>
      <c r="R81" s="121">
        <v>93.598973999999998</v>
      </c>
      <c r="S81" s="121">
        <v>4961.2858130000004</v>
      </c>
      <c r="T81" s="114">
        <f t="shared" si="48"/>
        <v>1.3892219395907637E-2</v>
      </c>
      <c r="U81" s="114">
        <f t="shared" si="49"/>
        <v>1.8865870165097862E-2</v>
      </c>
      <c r="V81" s="120">
        <f t="shared" si="50"/>
        <v>3.2758089561005496E-2</v>
      </c>
    </row>
    <row r="82" spans="2:22" x14ac:dyDescent="0.25">
      <c r="B82" s="21">
        <v>5</v>
      </c>
      <c r="C82" s="131">
        <v>88.113412999999994</v>
      </c>
      <c r="D82" s="131">
        <v>92.896198999999996</v>
      </c>
      <c r="E82" s="131">
        <v>4956.5826870000001</v>
      </c>
      <c r="F82" s="124">
        <f t="shared" si="42"/>
        <v>1.7777048939605432E-2</v>
      </c>
      <c r="G82" s="124">
        <f t="shared" si="43"/>
        <v>1.8741985126899185E-2</v>
      </c>
      <c r="H82" s="73">
        <f t="shared" si="44"/>
        <v>3.6519034066504613E-2</v>
      </c>
      <c r="P82" s="117">
        <v>5</v>
      </c>
      <c r="Q82" s="121">
        <v>73.794464000000005</v>
      </c>
      <c r="R82" s="121">
        <v>98.813704000000001</v>
      </c>
      <c r="S82" s="121">
        <v>5601.7028110000001</v>
      </c>
      <c r="T82" s="114">
        <f t="shared" si="48"/>
        <v>1.3173577122851048E-2</v>
      </c>
      <c r="U82" s="114">
        <f t="shared" si="49"/>
        <v>1.7639940449172109E-2</v>
      </c>
      <c r="V82" s="120">
        <f t="shared" si="50"/>
        <v>3.0813517572023157E-2</v>
      </c>
    </row>
    <row r="83" spans="2:22" x14ac:dyDescent="0.25">
      <c r="B83" s="21">
        <v>6</v>
      </c>
      <c r="C83" s="131">
        <v>99.218845999999999</v>
      </c>
      <c r="D83" s="131">
        <v>93.263909999999996</v>
      </c>
      <c r="E83" s="131">
        <v>5660.3980670000001</v>
      </c>
      <c r="F83" s="124">
        <f t="shared" si="42"/>
        <v>1.7528598664896689E-2</v>
      </c>
      <c r="G83" s="124">
        <f t="shared" si="43"/>
        <v>1.647656382043634E-2</v>
      </c>
      <c r="H83" s="73">
        <f t="shared" si="44"/>
        <v>3.4005162485333029E-2</v>
      </c>
      <c r="P83" s="117">
        <v>6</v>
      </c>
      <c r="Q83" s="121">
        <v>84.261060999999998</v>
      </c>
      <c r="R83" s="121">
        <v>100.85672099999999</v>
      </c>
      <c r="S83" s="121">
        <v>6323.6362609999996</v>
      </c>
      <c r="T83" s="114">
        <f t="shared" si="48"/>
        <v>1.3324779845366251E-2</v>
      </c>
      <c r="U83" s="114">
        <f t="shared" si="49"/>
        <v>1.5949165454379067E-2</v>
      </c>
      <c r="V83" s="120">
        <f t="shared" si="50"/>
        <v>2.9273945299745318E-2</v>
      </c>
    </row>
    <row r="84" spans="2:22" x14ac:dyDescent="0.25">
      <c r="B84" s="21">
        <v>7</v>
      </c>
      <c r="C84" s="131">
        <v>121.19672199999999</v>
      </c>
      <c r="D84" s="131">
        <v>105.365837</v>
      </c>
      <c r="E84" s="131">
        <v>6512.8038429999997</v>
      </c>
      <c r="F84" s="124">
        <f t="shared" si="42"/>
        <v>1.8608993134387571E-2</v>
      </c>
      <c r="G84" s="124">
        <f t="shared" si="43"/>
        <v>1.6178260475823762E-2</v>
      </c>
      <c r="H84" s="73">
        <f t="shared" si="44"/>
        <v>3.478725361021133E-2</v>
      </c>
      <c r="P84" s="117">
        <v>7</v>
      </c>
      <c r="Q84" s="121">
        <v>87.544248999999994</v>
      </c>
      <c r="R84" s="121">
        <v>110.800211</v>
      </c>
      <c r="S84" s="121">
        <v>7205.8505340000002</v>
      </c>
      <c r="T84" s="114">
        <f t="shared" si="48"/>
        <v>1.2149051466850755E-2</v>
      </c>
      <c r="U84" s="114">
        <f t="shared" si="49"/>
        <v>1.5376423709762171E-2</v>
      </c>
      <c r="V84" s="120">
        <f t="shared" si="50"/>
        <v>2.7525475176612926E-2</v>
      </c>
    </row>
    <row r="85" spans="2:22" x14ac:dyDescent="0.25">
      <c r="B85" s="21">
        <v>8</v>
      </c>
      <c r="C85" s="131">
        <v>131.81991099999999</v>
      </c>
      <c r="D85" s="131">
        <v>83.879848999999993</v>
      </c>
      <c r="E85" s="131">
        <v>7630.8886519999996</v>
      </c>
      <c r="F85" s="124">
        <f t="shared" si="42"/>
        <v>1.7274516378305554E-2</v>
      </c>
      <c r="G85" s="124">
        <f t="shared" si="43"/>
        <v>1.0992146894715296E-2</v>
      </c>
      <c r="H85" s="73">
        <f t="shared" si="44"/>
        <v>2.826666327302085E-2</v>
      </c>
      <c r="P85" s="117">
        <v>8</v>
      </c>
      <c r="Q85" s="121">
        <v>97.762607000000003</v>
      </c>
      <c r="R85" s="121">
        <v>103.01085500000001</v>
      </c>
      <c r="S85" s="121">
        <v>8318.4834179999998</v>
      </c>
      <c r="T85" s="114">
        <f t="shared" si="48"/>
        <v>1.1752455596467957E-2</v>
      </c>
      <c r="U85" s="114">
        <f t="shared" si="49"/>
        <v>1.2383369638881453E-2</v>
      </c>
      <c r="V85" s="120">
        <f t="shared" si="50"/>
        <v>2.413582523534941E-2</v>
      </c>
    </row>
    <row r="86" spans="2:22" x14ac:dyDescent="0.25">
      <c r="B86" s="21">
        <v>9</v>
      </c>
      <c r="C86" s="131">
        <v>139.526511</v>
      </c>
      <c r="D86" s="131">
        <v>116.838684</v>
      </c>
      <c r="E86" s="131">
        <v>9538.2592929999992</v>
      </c>
      <c r="F86" s="124">
        <f t="shared" si="42"/>
        <v>1.462808954065619E-2</v>
      </c>
      <c r="G86" s="124">
        <f t="shared" si="43"/>
        <v>1.2249476598496997E-2</v>
      </c>
      <c r="H86" s="73">
        <f t="shared" si="44"/>
        <v>2.6877566139153188E-2</v>
      </c>
      <c r="P86" s="117">
        <v>9</v>
      </c>
      <c r="Q86" s="121">
        <v>100.38437500000001</v>
      </c>
      <c r="R86" s="121">
        <v>132.927637</v>
      </c>
      <c r="S86" s="121">
        <v>10013.665757000001</v>
      </c>
      <c r="T86" s="114">
        <f t="shared" si="48"/>
        <v>1.0024737936736788E-2</v>
      </c>
      <c r="U86" s="114">
        <f t="shared" si="49"/>
        <v>1.3274622922886919E-2</v>
      </c>
      <c r="V86" s="120">
        <f t="shared" si="50"/>
        <v>2.3299360859623707E-2</v>
      </c>
    </row>
    <row r="87" spans="2:22" x14ac:dyDescent="0.25">
      <c r="B87" s="21">
        <v>10</v>
      </c>
      <c r="C87" s="131">
        <v>163.706962</v>
      </c>
      <c r="D87" s="131">
        <v>114.533243</v>
      </c>
      <c r="E87" s="131">
        <v>15613.402205</v>
      </c>
      <c r="F87" s="124">
        <f t="shared" si="42"/>
        <v>1.0485028173268659E-2</v>
      </c>
      <c r="G87" s="124">
        <f t="shared" si="43"/>
        <v>7.335572445787769E-3</v>
      </c>
      <c r="H87" s="73">
        <f t="shared" si="44"/>
        <v>1.7820600619056427E-2</v>
      </c>
      <c r="P87" s="117">
        <v>10</v>
      </c>
      <c r="Q87" s="121">
        <v>120.32525699999999</v>
      </c>
      <c r="R87" s="121">
        <v>120.12048900000001</v>
      </c>
      <c r="S87" s="121">
        <v>15715.834461</v>
      </c>
      <c r="T87" s="114">
        <f t="shared" si="48"/>
        <v>7.6563072294122195E-3</v>
      </c>
      <c r="U87" s="114">
        <f t="shared" si="49"/>
        <v>7.6432778226372799E-3</v>
      </c>
      <c r="V87" s="120">
        <f t="shared" si="50"/>
        <v>1.5299585052049499E-2</v>
      </c>
    </row>
    <row r="90" spans="2:22" x14ac:dyDescent="0.25">
      <c r="B90" s="129" t="s">
        <v>152</v>
      </c>
      <c r="C90" s="122"/>
      <c r="D90" s="122"/>
      <c r="E90" s="122"/>
      <c r="F90" s="122"/>
      <c r="G90" s="122"/>
      <c r="H90" s="122"/>
      <c r="P90" s="116" t="s">
        <v>152</v>
      </c>
    </row>
    <row r="91" spans="2:22" ht="75" x14ac:dyDescent="0.25">
      <c r="B91" s="21" t="s">
        <v>48</v>
      </c>
      <c r="C91" s="31" t="s">
        <v>139</v>
      </c>
      <c r="D91" s="31" t="s">
        <v>143</v>
      </c>
      <c r="E91" s="31" t="s">
        <v>140</v>
      </c>
      <c r="F91" s="31" t="s">
        <v>141</v>
      </c>
      <c r="G91" s="31" t="s">
        <v>144</v>
      </c>
      <c r="H91" s="31" t="s">
        <v>145</v>
      </c>
      <c r="P91" s="117" t="s">
        <v>48</v>
      </c>
      <c r="Q91" s="52" t="s">
        <v>139</v>
      </c>
      <c r="R91" s="52" t="s">
        <v>143</v>
      </c>
      <c r="S91" s="52" t="s">
        <v>140</v>
      </c>
      <c r="T91" s="52" t="s">
        <v>141</v>
      </c>
      <c r="U91" s="52" t="s">
        <v>144</v>
      </c>
      <c r="V91" s="52" t="s">
        <v>145</v>
      </c>
    </row>
    <row r="92" spans="2:22" x14ac:dyDescent="0.25">
      <c r="B92" s="21">
        <v>1</v>
      </c>
      <c r="C92" s="131">
        <v>114.416102</v>
      </c>
      <c r="D92" s="131">
        <v>27.103916000000002</v>
      </c>
      <c r="E92" s="131">
        <v>2311.0709019999999</v>
      </c>
      <c r="F92" s="124">
        <f t="shared" ref="F92:F101" si="51">C92/E92</f>
        <v>4.9507828557308363E-2</v>
      </c>
      <c r="G92" s="124">
        <f t="shared" ref="G92:G101" si="52">D92/E92</f>
        <v>1.1727860004876649E-2</v>
      </c>
      <c r="H92" s="73">
        <f t="shared" ref="H92:H101" si="53">SUM(F92:G92)</f>
        <v>6.123568856218501E-2</v>
      </c>
      <c r="P92" s="117">
        <v>1</v>
      </c>
      <c r="Q92" s="121">
        <v>110.36011999999999</v>
      </c>
      <c r="R92" s="121">
        <v>22.281679</v>
      </c>
      <c r="S92" s="121">
        <v>2754.3337839999999</v>
      </c>
      <c r="T92" s="114">
        <f t="shared" ref="T92:T101" si="54">Q92/S92</f>
        <v>4.0067809007421303E-2</v>
      </c>
      <c r="U92" s="114">
        <f t="shared" ref="U92:U101" si="55">R92/S92</f>
        <v>8.0896800269578371E-3</v>
      </c>
      <c r="V92" s="120">
        <f t="shared" ref="V92:V101" si="56">SUM(T92:U92)</f>
        <v>4.8157489034379136E-2</v>
      </c>
    </row>
    <row r="93" spans="2:22" x14ac:dyDescent="0.25">
      <c r="B93" s="21">
        <v>2</v>
      </c>
      <c r="C93" s="131">
        <v>149.66550599999999</v>
      </c>
      <c r="D93" s="131">
        <v>18.026910999999998</v>
      </c>
      <c r="E93" s="131">
        <v>3157.1671580000002</v>
      </c>
      <c r="F93" s="124">
        <f t="shared" si="51"/>
        <v>4.7404999010191774E-2</v>
      </c>
      <c r="G93" s="124">
        <f t="shared" si="52"/>
        <v>5.7098373630047744E-3</v>
      </c>
      <c r="H93" s="73">
        <f t="shared" si="53"/>
        <v>5.3114836373196549E-2</v>
      </c>
      <c r="P93" s="117">
        <v>2</v>
      </c>
      <c r="Q93" s="121">
        <v>134.22461899999999</v>
      </c>
      <c r="R93" s="121">
        <v>15.427861999999999</v>
      </c>
      <c r="S93" s="121">
        <v>3687.106659</v>
      </c>
      <c r="T93" s="114">
        <f t="shared" si="54"/>
        <v>3.6403779823500897E-2</v>
      </c>
      <c r="U93" s="114">
        <f t="shared" si="55"/>
        <v>4.1842733142372053E-3</v>
      </c>
      <c r="V93" s="120">
        <f t="shared" si="56"/>
        <v>4.0588053137738105E-2</v>
      </c>
    </row>
    <row r="94" spans="2:22" x14ac:dyDescent="0.25">
      <c r="B94" s="21">
        <v>3</v>
      </c>
      <c r="C94" s="131">
        <v>169.34783899999999</v>
      </c>
      <c r="D94" s="131">
        <v>12.759812</v>
      </c>
      <c r="E94" s="131">
        <v>3762.7979529999998</v>
      </c>
      <c r="F94" s="124">
        <f t="shared" si="51"/>
        <v>4.500582840622163E-2</v>
      </c>
      <c r="G94" s="124">
        <f t="shared" si="52"/>
        <v>3.3910436221607034E-3</v>
      </c>
      <c r="H94" s="73">
        <f t="shared" si="53"/>
        <v>4.8396872028382332E-2</v>
      </c>
      <c r="P94" s="117">
        <v>3</v>
      </c>
      <c r="Q94" s="121">
        <v>146.34851399999999</v>
      </c>
      <c r="R94" s="121">
        <v>11.401438000000001</v>
      </c>
      <c r="S94" s="121">
        <v>4353.2918209999998</v>
      </c>
      <c r="T94" s="114">
        <f t="shared" si="54"/>
        <v>3.3617896529248091E-2</v>
      </c>
      <c r="U94" s="114">
        <f t="shared" si="55"/>
        <v>2.6190382976395464E-3</v>
      </c>
      <c r="V94" s="120">
        <f t="shared" si="56"/>
        <v>3.623693482688764E-2</v>
      </c>
    </row>
    <row r="95" spans="2:22" x14ac:dyDescent="0.25">
      <c r="B95" s="21">
        <v>4</v>
      </c>
      <c r="C95" s="131">
        <v>179.84770399999999</v>
      </c>
      <c r="D95" s="131">
        <v>10.477425</v>
      </c>
      <c r="E95" s="131">
        <v>4347.8025239999997</v>
      </c>
      <c r="F95" s="124">
        <f t="shared" si="51"/>
        <v>4.1365196097852948E-2</v>
      </c>
      <c r="G95" s="124">
        <f t="shared" si="52"/>
        <v>2.4098208099756833E-3</v>
      </c>
      <c r="H95" s="73">
        <f t="shared" si="53"/>
        <v>4.3775016907828632E-2</v>
      </c>
      <c r="P95" s="117">
        <v>4</v>
      </c>
      <c r="Q95" s="121">
        <v>155.19567599999999</v>
      </c>
      <c r="R95" s="121">
        <v>8.8863090000000007</v>
      </c>
      <c r="S95" s="121">
        <v>4978.2448830000003</v>
      </c>
      <c r="T95" s="114">
        <f t="shared" si="54"/>
        <v>3.117477738589582E-2</v>
      </c>
      <c r="U95" s="114">
        <f t="shared" si="55"/>
        <v>1.7850285007765458E-3</v>
      </c>
      <c r="V95" s="120">
        <f t="shared" si="56"/>
        <v>3.2959805886672362E-2</v>
      </c>
    </row>
    <row r="96" spans="2:22" x14ac:dyDescent="0.25">
      <c r="B96" s="21">
        <v>5</v>
      </c>
      <c r="C96" s="131">
        <v>190.86100200000001</v>
      </c>
      <c r="D96" s="131">
        <v>8.0315619999999992</v>
      </c>
      <c r="E96" s="131">
        <v>4963.4488119999996</v>
      </c>
      <c r="F96" s="124">
        <f t="shared" si="51"/>
        <v>3.8453303182770897E-2</v>
      </c>
      <c r="G96" s="124">
        <f t="shared" si="52"/>
        <v>1.6181413980904372E-3</v>
      </c>
      <c r="H96" s="73">
        <f t="shared" si="53"/>
        <v>4.0071444580861336E-2</v>
      </c>
      <c r="P96" s="117">
        <v>5</v>
      </c>
      <c r="Q96" s="121">
        <v>163.14374599999999</v>
      </c>
      <c r="R96" s="121">
        <v>7.8212890000000002</v>
      </c>
      <c r="S96" s="121">
        <v>5619.8153990000001</v>
      </c>
      <c r="T96" s="114">
        <f t="shared" si="54"/>
        <v>2.9030089854736169E-2</v>
      </c>
      <c r="U96" s="114">
        <f t="shared" si="55"/>
        <v>1.3917341486682523E-3</v>
      </c>
      <c r="V96" s="120">
        <f t="shared" si="56"/>
        <v>3.0421824003404423E-2</v>
      </c>
    </row>
    <row r="97" spans="2:22" x14ac:dyDescent="0.25">
      <c r="B97" s="21">
        <v>6</v>
      </c>
      <c r="C97" s="131">
        <v>204.316079</v>
      </c>
      <c r="D97" s="131">
        <v>6.8175910000000002</v>
      </c>
      <c r="E97" s="131">
        <v>5661.3658359999999</v>
      </c>
      <c r="F97" s="124">
        <f t="shared" si="51"/>
        <v>3.608953827021328E-2</v>
      </c>
      <c r="G97" s="124">
        <f t="shared" si="52"/>
        <v>1.2042307806091053E-3</v>
      </c>
      <c r="H97" s="73">
        <f t="shared" si="53"/>
        <v>3.7293769050822385E-2</v>
      </c>
      <c r="P97" s="117">
        <v>6</v>
      </c>
      <c r="Q97" s="121">
        <v>171.32375200000001</v>
      </c>
      <c r="R97" s="121">
        <v>5.897761</v>
      </c>
      <c r="S97" s="121">
        <v>6333.5560189999997</v>
      </c>
      <c r="T97" s="114">
        <f t="shared" si="54"/>
        <v>2.70501676287455E-2</v>
      </c>
      <c r="U97" s="114">
        <f t="shared" si="55"/>
        <v>9.3119267948484855E-4</v>
      </c>
      <c r="V97" s="120">
        <f t="shared" si="56"/>
        <v>2.7981360308230348E-2</v>
      </c>
    </row>
    <row r="98" spans="2:22" x14ac:dyDescent="0.25">
      <c r="B98" s="21">
        <v>7</v>
      </c>
      <c r="C98" s="131">
        <v>213.53150400000001</v>
      </c>
      <c r="D98" s="131">
        <v>5.538729</v>
      </c>
      <c r="E98" s="131">
        <v>6523.3928059999998</v>
      </c>
      <c r="F98" s="124">
        <f t="shared" si="51"/>
        <v>3.2733197333081158E-2</v>
      </c>
      <c r="G98" s="124">
        <f t="shared" si="52"/>
        <v>8.4905649019106455E-4</v>
      </c>
      <c r="H98" s="73">
        <f t="shared" si="53"/>
        <v>3.3582253823272221E-2</v>
      </c>
      <c r="P98" s="117">
        <v>7</v>
      </c>
      <c r="Q98" s="121">
        <v>180.80770899999999</v>
      </c>
      <c r="R98" s="121">
        <v>5.3105260000000003</v>
      </c>
      <c r="S98" s="121">
        <v>7197.997676</v>
      </c>
      <c r="T98" s="114">
        <f t="shared" si="54"/>
        <v>2.511916745998127E-2</v>
      </c>
      <c r="U98" s="114">
        <f t="shared" si="55"/>
        <v>7.3777823209177714E-4</v>
      </c>
      <c r="V98" s="120">
        <f t="shared" si="56"/>
        <v>2.5856945692073047E-2</v>
      </c>
    </row>
    <row r="99" spans="2:22" x14ac:dyDescent="0.25">
      <c r="B99" s="21">
        <v>8</v>
      </c>
      <c r="C99" s="131">
        <v>226.928743</v>
      </c>
      <c r="D99" s="131">
        <v>3.3090769999999998</v>
      </c>
      <c r="E99" s="131">
        <v>7673.6827960000001</v>
      </c>
      <c r="F99" s="124">
        <f t="shared" si="51"/>
        <v>2.9572338215268598E-2</v>
      </c>
      <c r="G99" s="124">
        <f t="shared" si="52"/>
        <v>4.3122410555266846E-4</v>
      </c>
      <c r="H99" s="73">
        <f t="shared" si="53"/>
        <v>3.0003562320821266E-2</v>
      </c>
      <c r="P99" s="117">
        <v>8</v>
      </c>
      <c r="Q99" s="121">
        <v>187.912755</v>
      </c>
      <c r="R99" s="121">
        <v>4.1605999999999996</v>
      </c>
      <c r="S99" s="121">
        <v>8351.6764449999991</v>
      </c>
      <c r="T99" s="114">
        <f t="shared" si="54"/>
        <v>2.2500004189278673E-2</v>
      </c>
      <c r="U99" s="114">
        <f t="shared" si="55"/>
        <v>4.9817542949605971E-4</v>
      </c>
      <c r="V99" s="120">
        <f t="shared" si="56"/>
        <v>2.2998179618774733E-2</v>
      </c>
    </row>
    <row r="100" spans="2:22" x14ac:dyDescent="0.25">
      <c r="B100" s="21">
        <v>9</v>
      </c>
      <c r="C100" s="131">
        <v>241.62873400000001</v>
      </c>
      <c r="D100" s="131">
        <v>3.1586759999999998</v>
      </c>
      <c r="E100" s="131">
        <v>9576.7866090000007</v>
      </c>
      <c r="F100" s="124">
        <f t="shared" si="51"/>
        <v>2.5230669102820354E-2</v>
      </c>
      <c r="G100" s="124">
        <f t="shared" si="52"/>
        <v>3.2982629027481544E-4</v>
      </c>
      <c r="H100" s="73">
        <f t="shared" si="53"/>
        <v>2.556049539309517E-2</v>
      </c>
      <c r="P100" s="117">
        <v>9</v>
      </c>
      <c r="Q100" s="121">
        <v>203.979195</v>
      </c>
      <c r="R100" s="121">
        <v>3.3133360000000001</v>
      </c>
      <c r="S100" s="121">
        <v>10128.765452</v>
      </c>
      <c r="T100" s="114">
        <f t="shared" si="54"/>
        <v>2.0138603857168279E-2</v>
      </c>
      <c r="U100" s="114">
        <f t="shared" si="55"/>
        <v>3.271214064242901E-4</v>
      </c>
      <c r="V100" s="120">
        <f t="shared" si="56"/>
        <v>2.0465725263592568E-2</v>
      </c>
    </row>
    <row r="101" spans="2:22" x14ac:dyDescent="0.25">
      <c r="B101" s="21">
        <v>10</v>
      </c>
      <c r="C101" s="131">
        <v>279.793834</v>
      </c>
      <c r="D101" s="131">
        <v>2.126674</v>
      </c>
      <c r="E101" s="131">
        <v>16159.285287999999</v>
      </c>
      <c r="F101" s="124">
        <f t="shared" si="51"/>
        <v>1.7314740659215722E-2</v>
      </c>
      <c r="G101" s="124">
        <f t="shared" si="52"/>
        <v>1.316069344712469E-4</v>
      </c>
      <c r="H101" s="73">
        <f t="shared" si="53"/>
        <v>1.7446347593686969E-2</v>
      </c>
      <c r="P101" s="117">
        <v>10</v>
      </c>
      <c r="Q101" s="121">
        <v>233.45889199999999</v>
      </c>
      <c r="R101" s="121">
        <v>2.9146000000000001</v>
      </c>
      <c r="S101" s="121">
        <v>16018.729767999999</v>
      </c>
      <c r="T101" s="114">
        <f t="shared" si="54"/>
        <v>1.4574120131945284E-2</v>
      </c>
      <c r="U101" s="114">
        <f t="shared" si="55"/>
        <v>1.8194950799547068E-4</v>
      </c>
      <c r="V101" s="120">
        <f t="shared" si="56"/>
        <v>1.4756069639940755E-2</v>
      </c>
    </row>
  </sheetData>
  <mergeCells count="2">
    <mergeCell ref="A1:N1"/>
    <mergeCell ref="O1:AD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Contents</vt:lpstr>
      <vt:lpstr>Primary cooking source</vt:lpstr>
      <vt:lpstr>LPG subsidy</vt:lpstr>
      <vt:lpstr>Subsidized cylinder count</vt:lpstr>
      <vt:lpstr>Average consumption - PC 30 day</vt:lpstr>
      <vt:lpstr>Average cylinders - HH 1 yr</vt:lpstr>
      <vt:lpstr>PPAC vs HCES lpg consumption</vt:lpstr>
      <vt:lpstr>Share LPG and firewood exp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dc:creator>
  <cp:lastModifiedBy>Tarun</cp:lastModifiedBy>
  <dcterms:created xsi:type="dcterms:W3CDTF">2025-04-01T07:39:05Z</dcterms:created>
  <dcterms:modified xsi:type="dcterms:W3CDTF">2025-06-07T09:59:46Z</dcterms:modified>
</cp:coreProperties>
</file>